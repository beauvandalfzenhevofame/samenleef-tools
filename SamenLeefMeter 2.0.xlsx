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202300"/>
  <mc:AlternateContent xmlns:mc="http://schemas.openxmlformats.org/markup-compatibility/2006">
    <mc:Choice Requires="x15">
      <x15ac:absPath xmlns:x15ac="http://schemas.microsoft.com/office/spreadsheetml/2010/11/ac" url="/Users/beauvandalfzen/Desktop/"/>
    </mc:Choice>
  </mc:AlternateContent>
  <xr:revisionPtr revIDLastSave="0" documentId="13_ncr:1_{00073CD1-D6B7-7948-A73C-A8698ED0DAA2}" xr6:coauthVersionLast="47" xr6:coauthVersionMax="47" xr10:uidLastSave="{00000000-0000-0000-0000-000000000000}"/>
  <bookViews>
    <workbookView xWindow="8120" yWindow="1100" windowWidth="20680" windowHeight="15480" activeTab="3" xr2:uid="{3DFCB37C-5B4A-8E4F-BD38-29529E4A28B8}"/>
  </bookViews>
  <sheets>
    <sheet name="Toelichting" sheetId="5" r:id="rId1"/>
    <sheet name="Dashboard" sheetId="1" r:id="rId2"/>
    <sheet name="Beoordeling" sheetId="2" r:id="rId3"/>
    <sheet name="Wegingen" sheetId="3" r:id="rId4"/>
    <sheet name="Vergelijking" sheetId="4" r:id="rId5"/>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7" i="2" l="1"/>
  <c r="B10" i="1" s="1"/>
  <c r="B8" i="1"/>
  <c r="C32" i="2"/>
  <c r="F13" i="4"/>
  <c r="D18" i="1"/>
  <c r="E35" i="2"/>
  <c r="D35" i="2"/>
  <c r="E27" i="2"/>
  <c r="F27" i="2" s="1"/>
  <c r="C36" i="2" s="1"/>
  <c r="B19" i="1" s="1"/>
  <c r="E23" i="2"/>
  <c r="F23" i="2" s="1"/>
  <c r="C23" i="3"/>
  <c r="F8" i="4"/>
  <c r="F9" i="4"/>
  <c r="F10" i="4"/>
  <c r="F11" i="4"/>
  <c r="F12" i="4"/>
  <c r="F7" i="4"/>
  <c r="E22" i="2"/>
  <c r="F22" i="2" s="1"/>
  <c r="E25" i="2"/>
  <c r="F25" i="2" s="1"/>
  <c r="C35" i="2" s="1"/>
  <c r="E21" i="2"/>
  <c r="F21" i="2" s="1"/>
  <c r="E20" i="2"/>
  <c r="F20" i="2" s="1"/>
  <c r="E18" i="2"/>
  <c r="F18" i="2" s="1"/>
  <c r="E17" i="2"/>
  <c r="F17" i="2" s="1"/>
  <c r="E15" i="2"/>
  <c r="F15" i="2" s="1"/>
  <c r="E14" i="2"/>
  <c r="F14" i="2" s="1"/>
  <c r="E13" i="2"/>
  <c r="F13" i="2" s="1"/>
  <c r="E12" i="2"/>
  <c r="E10" i="2"/>
  <c r="F10" i="2" s="1"/>
  <c r="E9" i="2"/>
  <c r="F9" i="2" s="1"/>
  <c r="E8" i="2"/>
  <c r="F8" i="2" s="1"/>
  <c r="E7" i="2"/>
  <c r="C39" i="2" l="1"/>
  <c r="D36" i="2"/>
  <c r="D31" i="2"/>
  <c r="C33" i="2"/>
  <c r="C34" i="2"/>
  <c r="B17" i="1" s="1"/>
  <c r="D34" i="2"/>
  <c r="C14" i="1"/>
  <c r="B16" i="1"/>
  <c r="D33" i="2"/>
  <c r="E33" i="2" s="1"/>
  <c r="D32" i="2"/>
  <c r="C15" i="1" s="1"/>
  <c r="B18" i="1"/>
  <c r="F7" i="2"/>
  <c r="C31" i="2" s="1"/>
  <c r="F12" i="2"/>
  <c r="E36" i="2" l="1"/>
  <c r="C19" i="1"/>
  <c r="D19" i="1" s="1"/>
  <c r="E19" i="1" s="1"/>
  <c r="C16" i="1"/>
  <c r="D16" i="1" s="1"/>
  <c r="E16" i="1" s="1"/>
  <c r="E32" i="2"/>
  <c r="E31" i="2"/>
  <c r="C18" i="1"/>
  <c r="E18" i="1" s="1"/>
  <c r="B14" i="1"/>
  <c r="D14" i="1" s="1"/>
  <c r="E14" i="1" s="1"/>
  <c r="E34" i="2"/>
  <c r="C17" i="1"/>
  <c r="D17" i="1" s="1"/>
  <c r="E17" i="1" s="1"/>
  <c r="B15" i="1" l="1"/>
  <c r="D15" i="1" s="1"/>
  <c r="E15" i="1" s="1"/>
  <c r="C37" i="2"/>
  <c r="B1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Beau van Dalfzen</author>
  </authors>
  <commentList>
    <comment ref="A12" authorId="0" shapeId="0" xr:uid="{432F0E42-249A-714E-A4DA-39012F0D31EA}">
      <text>
        <r>
          <rPr>
            <b/>
            <sz val="10"/>
            <color rgb="FF000000"/>
            <rFont val="Tahoma"/>
            <family val="2"/>
          </rPr>
          <t>Beau van Dalfzen:</t>
        </r>
        <r>
          <rPr>
            <sz val="10"/>
            <color rgb="FF000000"/>
            <rFont val="Tahoma"/>
            <family val="2"/>
          </rPr>
          <t xml:space="preserve">
</t>
        </r>
        <r>
          <rPr>
            <sz val="10"/>
            <color rgb="FF000000"/>
            <rFont val="Aptos Narrow"/>
            <scheme val="minor"/>
          </rPr>
          <t>Let op: zonder geschikte constructie én stramienmaat is transformatie technisch en financieel onhaalbaar. Een ongunstige structuur leidt tot suboptimale plattegronden voor woonzorgfuncties (Tetteroo, HevoFame; Boonen, Sonneborgh</t>
        </r>
      </text>
    </comment>
    <comment ref="A14" authorId="0" shapeId="0" xr:uid="{775013C1-107C-2E4F-B542-E17F4CA66287}">
      <text>
        <r>
          <rPr>
            <b/>
            <sz val="10"/>
            <color rgb="FF000000"/>
            <rFont val="Tahoma"/>
            <family val="2"/>
          </rPr>
          <t>Beau van Dalfzen:</t>
        </r>
        <r>
          <rPr>
            <sz val="10"/>
            <color rgb="FF000000"/>
            <rFont val="Tahoma"/>
            <family val="2"/>
          </rPr>
          <t xml:space="preserve">
</t>
        </r>
        <r>
          <rPr>
            <sz val="10"/>
            <color rgb="FF000000"/>
            <rFont val="Arial"/>
            <family val="34"/>
          </rPr>
          <t>Let op: energielabel A geldt in de praktijk ook als financieringsvoorwaarde.</t>
        </r>
        <r>
          <rPr>
            <sz val="10"/>
            <color rgb="FF000000"/>
            <rFont val="Arial"/>
            <family val="34"/>
          </rPr>
          <t xml:space="preserve"> B</t>
        </r>
        <r>
          <rPr>
            <sz val="10"/>
            <color rgb="FF000000"/>
            <rFont val="Arial"/>
            <family val="34"/>
          </rPr>
          <t>anken financieren vrijwel uitsluitend gebouwen met label A (Boonen, Sonneborgh)</t>
        </r>
      </text>
    </comment>
    <comment ref="A18" authorId="0" shapeId="0" xr:uid="{2FC12C35-82E0-5F42-A744-BF15076730C1}">
      <text>
        <r>
          <rPr>
            <b/>
            <sz val="10"/>
            <color rgb="FF000000"/>
            <rFont val="Tahoma"/>
            <family val="2"/>
          </rPr>
          <t>Beau van Dalfzen:</t>
        </r>
        <r>
          <rPr>
            <sz val="10"/>
            <color rgb="FF000000"/>
            <rFont val="Tahoma"/>
            <family val="2"/>
          </rPr>
          <t xml:space="preserve">
</t>
        </r>
        <r>
          <rPr>
            <sz val="10"/>
            <color rgb="FF000000"/>
            <rFont val="Aptos Narrow"/>
            <scheme val="minor"/>
          </rPr>
          <t>Let op: verdichtingspotentie is bepalend voor de businesscase. Meer volume toevoegen maakt transformatie financieel aantrekkelijker (Overwijk, Centrada; Tetteroo, HevoFame).</t>
        </r>
      </text>
    </comment>
    <comment ref="A25" authorId="0" shapeId="0" xr:uid="{D5B2D92F-331E-A244-AAA0-E8EDAB8A0AEE}">
      <text>
        <r>
          <rPr>
            <b/>
            <sz val="10"/>
            <color rgb="FF000000"/>
            <rFont val="Tahoma"/>
            <family val="2"/>
          </rPr>
          <t>Beau van Dalfzen:</t>
        </r>
        <r>
          <rPr>
            <sz val="10"/>
            <color rgb="FF000000"/>
            <rFont val="Tahoma"/>
            <family val="2"/>
          </rPr>
          <t xml:space="preserve">
</t>
        </r>
        <r>
          <rPr>
            <sz val="10"/>
            <color rgb="FF000000"/>
            <rFont val="Arial"/>
            <family val="34"/>
          </rPr>
          <t>Let op: betrek ook erfgoedwaarde en monumentenstatus in de beoordeling. Deze kunnen vergunningstrajecten beïnvloeden (ERA Contour; Centrada).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Beau van Dalfzen</author>
  </authors>
  <commentList>
    <comment ref="F14" authorId="0" shapeId="0" xr:uid="{20870148-8E2D-DA42-B53A-AC9053FA1FC0}">
      <text>
        <r>
          <rPr>
            <b/>
            <sz val="10"/>
            <color rgb="FF000000"/>
            <rFont val="Tahoma"/>
            <family val="2"/>
          </rPr>
          <t>Beau van Dalfzen:</t>
        </r>
        <r>
          <rPr>
            <sz val="10"/>
            <color rgb="FF000000"/>
            <rFont val="Tahoma"/>
            <family val="2"/>
          </rPr>
          <t xml:space="preserve">
</t>
        </r>
        <r>
          <rPr>
            <sz val="10"/>
            <color rgb="FF000000"/>
            <rFont val="Tahoma"/>
            <family val="2"/>
          </rPr>
          <t>Handmatig invullen. Zie Beoordeling tabblad</t>
        </r>
      </text>
    </comment>
  </commentList>
</comments>
</file>

<file path=xl/sharedStrings.xml><?xml version="1.0" encoding="utf-8"?>
<sst xmlns="http://schemas.openxmlformats.org/spreadsheetml/2006/main" count="137" uniqueCount="104">
  <si>
    <t>Locatiebeoordelingstool voor woonzorgconcepten  |  HevoFame  |  H.B. van Dalfzen – Hanze Vastgoedkunde 2026</t>
  </si>
  <si>
    <t>LOCATIEGEGEVENS</t>
  </si>
  <si>
    <t>Locatienaam / adres</t>
  </si>
  <si>
    <t>Beoordelaar</t>
  </si>
  <si>
    <t>Datum beoordeling</t>
  </si>
  <si>
    <t>Gewogen totaalscore (max. 100)</t>
  </si>
  <si>
    <t>Advies</t>
  </si>
  <si>
    <t>SCORES PER CATEGORIE</t>
  </si>
  <si>
    <t>Locatiekenmerken</t>
  </si>
  <si>
    <t>Financiële haalbaarheid</t>
  </si>
  <si>
    <t>Leefomgeving</t>
  </si>
  <si>
    <t>UITLEGKADER</t>
  </si>
  <si>
    <t>Gebaseerd op bureauonderzoek (Leefplekmeter, Transformatiepotentiemeter, Monitor Ouderenhuisvesting, Adaptive Reuse Theory, MCA – Najah 2012) én veldwerkonderzoek (6 semigestructureerde expertinterviews, 2026)  |  H.B. van Dalfzen – Hanze Vastgoedkunde 2026</t>
  </si>
  <si>
    <t>Beoordelingsformulier SamenLeefMeter</t>
  </si>
  <si>
    <t>Vul per indicator een score in van 1 (zeer ongeschikt) t/m 10 (uitstekend geschikt). De wegingsfactor is aanpasbaar in het tabblad 'Wegingen'</t>
  </si>
  <si>
    <t>Blauwe cellen = invulvelden voor scores</t>
  </si>
  <si>
    <t>LOCATIEKENMERKEN</t>
  </si>
  <si>
    <t>Ligging &amp; bereikbaarheid</t>
  </si>
  <si>
    <t>Nabijheid voorzieningen</t>
  </si>
  <si>
    <t>Sociaal-demografisch profiel</t>
  </si>
  <si>
    <t>Doelgroep &amp; zorgzwaarte</t>
  </si>
  <si>
    <t>GEBOUWTECHNISCHE GESCHIKTHEID</t>
  </si>
  <si>
    <t>Constructie &amp; stramienmaat</t>
  </si>
  <si>
    <t>Technische staat &amp; levensduur</t>
  </si>
  <si>
    <t>Energielabel &amp; duurzaamheid</t>
  </si>
  <si>
    <t>Aanpasbaarheid &amp; flexibiliteit</t>
  </si>
  <si>
    <t>FINANCIËLE HAALBAARHEID</t>
  </si>
  <si>
    <t>Transformatiekosten vs. nieuwbouw</t>
  </si>
  <si>
    <t>Businesscase &amp; opbrengstpotentie</t>
  </si>
  <si>
    <t>LEEFOMGEVING &amp; ZORGKENMERKEN</t>
  </si>
  <si>
    <t>Zorgmarkt &amp; zorgaanbod omgeving</t>
  </si>
  <si>
    <t>Leefbaarheid &amp; gemeenschapskwaliteit</t>
  </si>
  <si>
    <t>Juridisch-planologische haalbaarheid</t>
  </si>
  <si>
    <t>Gebouwtechnische geschiktheid</t>
  </si>
  <si>
    <t>Gewogen score</t>
  </si>
  <si>
    <t>Max. score</t>
  </si>
  <si>
    <t>Score %</t>
  </si>
  <si>
    <t>Leefomgeving &amp; zorg</t>
  </si>
  <si>
    <t>ADVIES</t>
  </si>
  <si>
    <t>Wegingsfactoren SamenLeefMeter</t>
  </si>
  <si>
    <t>Indicator</t>
  </si>
  <si>
    <t>Wegingsfactor</t>
  </si>
  <si>
    <t>Leefbaarheid &amp; gemeenschap</t>
  </si>
  <si>
    <t>Huidig woonzorgaanbod &amp; demografische ontwikkeling</t>
  </si>
  <si>
    <t>Wegingsfactor (aanpasbaar)</t>
  </si>
  <si>
    <t>Locatievergelijking SamenLeefMeter</t>
  </si>
  <si>
    <t>Toelichting SamenLeefMeter</t>
  </si>
  <si>
    <t>SamenLeefMeter | HevoFame | H.B. van Dalfzen - Afstudeeronderzoek Vastgoedkunde 2026</t>
  </si>
  <si>
    <t>Criterium</t>
  </si>
  <si>
    <t>Locatie 1</t>
  </si>
  <si>
    <t>Beste locatie</t>
  </si>
  <si>
    <t>Locatie 2</t>
  </si>
  <si>
    <t>Locatie 3</t>
  </si>
  <si>
    <t>Locatie 4</t>
  </si>
  <si>
    <t>Locatienaam</t>
  </si>
  <si>
    <t>Totaalscore (max. 100)</t>
  </si>
  <si>
    <t>Advies (GO / AANDACHT / NO-GO)</t>
  </si>
  <si>
    <t>— vul locatienaam in —</t>
  </si>
  <si>
    <t>Voer per locatie de totaalscores en categoriesscores in om locaties te vergelijken. Dit tabblad is handmatig invulbaar.</t>
  </si>
  <si>
    <t>Score (1-10)</t>
  </si>
  <si>
    <t>AANDACHT = Score 50–69</t>
  </si>
  <si>
    <t>GO  = Score ≥ 70</t>
  </si>
  <si>
    <t>NO-GO  =  Score &lt; 50</t>
  </si>
  <si>
    <t>Categorie</t>
  </si>
  <si>
    <t>Beoordeling</t>
  </si>
  <si>
    <t>UITKOMST SAMENLEEFMETER</t>
  </si>
  <si>
    <t xml:space="preserve">SamenLeefMeter </t>
  </si>
  <si>
    <t>TOTAALSCORE SamenLeefMeter</t>
  </si>
  <si>
    <t>Totaalscore</t>
  </si>
  <si>
    <t>Beschikbaarheid zorgpersoneel &amp; zorgvisie</t>
  </si>
  <si>
    <t>Totaal</t>
  </si>
  <si>
    <t>Pas hier de wegingsfactoren aan. Hoe hoger de factor, hoe zwaarder meegewogen in de eindscore. Aanbevolen bandbreedte: 0,5 – 2,5.</t>
  </si>
  <si>
    <t>SCORINGSRICHTLIJN</t>
  </si>
  <si>
    <t>UITLEGKADER TOTAALSCORE</t>
  </si>
  <si>
    <t>Toelichting</t>
  </si>
  <si>
    <t>Bereikbaarheid van de locatie voor bewoners, bezoekers en zorgpersoneel per auto, fiets, openbaar vervoer en hulpdiensten.</t>
  </si>
  <si>
    <t>Aanwezigheid van dagelijkse voorzieningen in de directe omgeving, waaronder winkels, huisarts, apotheek, ontmoetingsplekken en openbaar vervoer.</t>
  </si>
  <si>
    <t>Aansluiting van de bevolkingssamenstelling en maatschappelijke context van de omgeving op de beoogde doelgroep.</t>
  </si>
  <si>
    <t>Mate waarin de locatie geschikt is voor de beoogde doelgroep en de daarbij behorende zorgvraag en ondersteuningsbehoefte.</t>
  </si>
  <si>
    <t>Geschiktheid van de bestaande constructie, overspanningen en gebouwdiepte voor transformatie naar woonzorgfuncties.</t>
  </si>
  <si>
    <t>Bouwkundige en installatietechnische kwaliteit van het gebouw en de resterende functionele levensduur.</t>
  </si>
  <si>
    <t>Prestatie van het gebouw op het gebied van energieverbruik, verduurzamingspotentie en toekomstige wet- en regelgeving.</t>
  </si>
  <si>
    <t>Mogelijkheid om het gebouw efficiënt aan te passen aan veranderende woon- en zorgbehoeften.</t>
  </si>
  <si>
    <t>Verhouding tussen de verwachte investeringskosten van transformatie en de kosten van sloop/nieuwbouw</t>
  </si>
  <si>
    <t>Aanwezigheid van zorgaanbieders, samenwerkingspartners en de regionale behoefte aan woonzorgconcepten.</t>
  </si>
  <si>
    <t>Kwaliteit van de woonomgeving, sociale cohesie, veiligheid en mogelijkheden voor ontmoeting en participatie.</t>
  </si>
  <si>
    <t>Strategische horizon organisatie</t>
  </si>
  <si>
    <t>Beschikbaarheid van voldoende zorgpersoneel in de regio en aansluiting op de zorgvisie van de beoogde zorgpartner.</t>
  </si>
  <si>
    <t>ORGANISATIEKENMERKEN</t>
  </si>
  <si>
    <t>Strategische horizon</t>
  </si>
  <si>
    <t>Organisatiekenmerken</t>
  </si>
  <si>
    <t>Juridisch-planologisch</t>
  </si>
  <si>
    <t>Inzicht in de regionale vraag naar woonzorgconcepten en de demografische ontwikkeling van de omgeving, waaronder vergrijzing en bevolkingsopbouw.</t>
  </si>
  <si>
    <t>De tijdshorizon en organisatievisie van de betrokken partij, die bepalend kunnen zijn voor de keuze tussen transformatie en sloop/nieuwbouw.</t>
  </si>
  <si>
    <t>Notities / toelichting wegingsfactor</t>
  </si>
  <si>
    <t>DE SAMENLEEFMETER?</t>
  </si>
  <si>
    <t>GEBRUIK SAMENLEEFMETER?</t>
  </si>
  <si>
    <t>BIJDRAGE AAN DE AFWEGING TRANSFORMATIE VS. SLOOP/NIEUWBOUW</t>
  </si>
  <si>
    <t>Passendheid binnen omgevingsplan, vergunningstrajecten en overige ruimtelijke regelgeving.</t>
  </si>
  <si>
    <t>De verwachte opbrengsten van de ontwikkeling afgezet tegen de totale investeringskosten, inclusief grond, bouw en bijkomende kosten.</t>
  </si>
  <si>
    <t>JURIDISCH-PLANOLOGISCH</t>
  </si>
  <si>
    <t>VETOVEREISTE CONSTRUCTIE</t>
  </si>
  <si>
    <t>CELNOTITIES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</si>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</sst>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0.0"/>
  </numFmts>
  <fonts count="26" x14ac:knownFonts="1">
    <font>
      <sz val="12"/>
      <color theme="1"/>
      <name val="Aptos Narrow"/>
      <family val="2"/>
      <scheme val="minor"/>
    </font>
    <font>
      <sz val="12"/>
      <color theme="1"/>
      <name val="Aptos Narrow"/>
      <family val="2"/>
      <scheme val="minor"/>
    </font>
    <font>
      <b/>
      <sz val="24"/>
      <color rgb="FFFFFFFF"/>
      <name val="Arial"/>
      <family val="2"/>
    </font>
    <font>
      <i/>
      <sz val="10"/>
      <color rgb="FFC8A96E"/>
      <name val="Arial"/>
      <family val="2"/>
    </font>
    <font>
      <b/>
      <sz val="10"/>
      <color rgb="FFFFFFFF"/>
      <name val="Arial"/>
      <family val="2"/>
    </font>
    <font>
      <i/>
      <sz val="12"/>
      <color theme="1"/>
      <name val="Aptos Narrow"/>
      <scheme val="minor"/>
    </font>
    <font>
      <sz val="10"/>
      <color theme="0"/>
      <name val="Arial"/>
      <family val="2"/>
    </font>
    <font>
      <b/>
      <sz val="10"/>
      <color theme="0"/>
      <name val="Arial"/>
      <family val="2"/>
    </font>
    <font>
      <b/>
      <sz val="10"/>
      <color rgb="FF1A1A1A"/>
      <name val="Arial"/>
      <family val="2"/>
    </font>
    <font>
      <b/>
      <sz val="12"/>
      <color theme="0"/>
      <name val="Aptos Narrow (Hoofdtekst)"/>
    </font>
    <font>
      <b/>
      <sz val="12"/>
      <color theme="3" tint="0.249977111117893"/>
      <name val="Aptos Narrow"/>
      <scheme val="minor"/>
    </font>
    <font>
      <b/>
      <sz val="11"/>
      <color rgb="FFC62828"/>
      <name val="Arial"/>
      <family val="2"/>
    </font>
    <font>
      <b/>
      <sz val="11"/>
      <color theme="9"/>
      <name val="Arial"/>
      <family val="2"/>
    </font>
    <font>
      <b/>
      <sz val="11"/>
      <color rgb="FFFFC000"/>
      <name val="Arial"/>
      <family val="2"/>
    </font>
    <font>
      <sz val="12"/>
      <color rgb="FF000000"/>
      <name val="Aptos Narrow"/>
      <family val="2"/>
      <scheme val="minor"/>
    </font>
    <font>
      <b/>
      <sz val="10"/>
      <color rgb="FF0070C0"/>
      <name val="Arial Unicode MS"/>
      <family val="2"/>
    </font>
    <font>
      <b/>
      <sz val="12"/>
      <color rgb="FF0070C0"/>
      <name val="Aptos Narrow"/>
      <family val="2"/>
      <scheme val="minor"/>
    </font>
    <font>
      <b/>
      <sz val="12"/>
      <color rgb="FF0070C0"/>
      <name val="Aptos Narrow"/>
      <scheme val="minor"/>
    </font>
    <font>
      <sz val="10"/>
      <color rgb="FF000000"/>
      <name val="Tahoma"/>
      <family val="2"/>
    </font>
    <font>
      <b/>
      <sz val="10"/>
      <color rgb="FF000000"/>
      <name val="Tahoma"/>
      <family val="2"/>
    </font>
    <font>
      <sz val="10"/>
      <color theme="1"/>
      <name val="Aptos Narrow (Hoofdtekst)"/>
    </font>
    <font>
      <sz val="10"/>
      <color theme="1"/>
      <name val="Arial"/>
      <family val="2"/>
    </font>
    <font>
      <sz val="12"/>
      <color theme="1"/>
      <name val="Arial"/>
      <family val="2"/>
    </font>
    <font>
      <b/>
      <sz val="12"/>
      <color theme="1"/>
      <name val="Arial"/>
      <family val="2"/>
    </font>
    <font>
      <sz val="10"/>
      <color rgb="FF000000"/>
      <name val="Aptos Narrow"/>
      <scheme val="minor"/>
    </font>
    <font>
      <sz val="10"/>
      <color rgb="FF000000"/>
      <name val="Arial"/>
      <family val="34"/>
    </font>
  </fonts>
  <fills count="24">
    <fill>
      <patternFill patternType="none"/>
    </fill>
    <fill>
      <patternFill patternType="gray125"/>
    </fill>
    <fill>
      <patternFill patternType="solid">
        <fgColor rgb="FFE87722"/>
        <bgColor rgb="FFFF9900"/>
      </patternFill>
    </fill>
    <fill>
      <patternFill patternType="solid">
        <fgColor theme="0" tint="-0.34998626667073579"/>
        <bgColor rgb="FF333333"/>
      </patternFill>
    </fill>
    <fill>
      <patternFill patternType="solid">
        <fgColor theme="1"/>
        <bgColor rgb="FF333333"/>
      </patternFill>
    </fill>
    <fill>
      <patternFill patternType="solid">
        <fgColor rgb="FF595959"/>
        <bgColor rgb="FF444444"/>
      </patternFill>
    </fill>
    <fill>
      <patternFill patternType="solid">
        <fgColor theme="1" tint="0.34998626667073579"/>
        <bgColor indexed="64"/>
      </patternFill>
    </fill>
    <fill>
      <patternFill patternType="solid">
        <fgColor rgb="FFF5E8B5"/>
        <bgColor indexed="64"/>
      </patternFill>
    </fill>
    <fill>
      <patternFill patternType="solid">
        <fgColor theme="2"/>
        <bgColor indexed="64"/>
      </patternFill>
    </fill>
    <fill>
      <patternFill patternType="solid">
        <fgColor rgb="FFC8A96E"/>
        <bgColor rgb="FFAAAAAA"/>
      </patternFill>
    </fill>
    <fill>
      <patternFill patternType="solid">
        <fgColor theme="5" tint="0.79998168889431442"/>
        <bgColor rgb="FFFFF8F0"/>
      </patternFill>
    </fill>
    <fill>
      <patternFill patternType="solid">
        <fgColor theme="1"/>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rgb="FF1A1A1A"/>
        <bgColor rgb="FF333333"/>
      </patternFill>
    </fill>
    <fill>
      <patternFill patternType="solid">
        <fgColor rgb="FFFFF3E0"/>
        <bgColor rgb="FFFDF6EC"/>
      </patternFill>
    </fill>
    <fill>
      <patternFill patternType="solid">
        <fgColor rgb="FFFFEBEE"/>
        <bgColor rgb="FFFFF3E0"/>
      </patternFill>
    </fill>
    <fill>
      <patternFill patternType="solid">
        <fgColor theme="9" tint="0.79998168889431442"/>
        <bgColor rgb="FFF0F0F0"/>
      </patternFill>
    </fill>
    <fill>
      <patternFill patternType="solid">
        <fgColor theme="1"/>
        <bgColor rgb="FF444444"/>
      </patternFill>
    </fill>
    <fill>
      <patternFill patternType="solid">
        <fgColor rgb="FFFBE2D5"/>
        <bgColor indexed="64"/>
      </patternFill>
    </fill>
    <fill>
      <patternFill patternType="solid">
        <fgColor rgb="FFFBE2D5"/>
        <bgColor rgb="FF000000"/>
      </patternFill>
    </fill>
    <fill>
      <patternFill patternType="solid">
        <fgColor rgb="FFC8A96E"/>
        <bgColor indexed="64"/>
      </patternFill>
    </fill>
    <fill>
      <patternFill patternType="solid">
        <fgColor rgb="FFCCCCCC"/>
        <bgColor indexed="64"/>
      </patternFill>
    </fill>
    <fill>
      <patternFill patternType="solid">
        <fgColor rgb="FFE8E8E8"/>
        <bgColor indexed="64"/>
      </patternFill>
    </fill>
  </fills>
  <borders count="18">
    <border>
      <left/>
      <right/>
      <top/>
      <bottom/>
      <diagonal/>
    </border>
    <border>
      <left style="thin">
        <color rgb="FFCCCCCC"/>
      </left>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style="thin">
        <color rgb="FFCCCCCC"/>
      </bottom>
      <diagonal/>
    </border>
    <border>
      <left style="thin">
        <color rgb="FFCCCCCC"/>
      </left>
      <right/>
      <top style="thin">
        <color rgb="FFCCCCCC"/>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rgb="FFCCCCCC"/>
      </top>
      <bottom style="thin">
        <color rgb="FFCCCCCC"/>
      </bottom>
      <diagonal/>
    </border>
    <border>
      <left/>
      <right/>
      <top/>
      <bottom style="thin">
        <color auto="1"/>
      </bottom>
      <diagonal/>
    </border>
    <border>
      <left style="thin">
        <color rgb="FFCCCCCC"/>
      </left>
      <right/>
      <top/>
      <bottom style="thin">
        <color rgb="FFCCCCCC"/>
      </bottom>
      <diagonal/>
    </border>
    <border>
      <left style="thin">
        <color theme="1"/>
      </left>
      <right/>
      <top style="thin">
        <color theme="1"/>
      </top>
      <bottom style="thin">
        <color theme="1"/>
      </bottom>
      <diagonal/>
    </border>
    <border>
      <left style="thin">
        <color rgb="FFCCCCCC"/>
      </left>
      <right style="thin">
        <color theme="1"/>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diagonal/>
    </border>
    <border>
      <left/>
      <right style="thin">
        <color theme="1"/>
      </right>
      <top style="thin">
        <color theme="1"/>
      </top>
      <bottom/>
      <diagonal/>
    </border>
    <border>
      <left style="thin">
        <color theme="1"/>
      </left>
      <right/>
      <top style="thin">
        <color auto="1"/>
      </top>
      <bottom style="thin">
        <color theme="1"/>
      </bottom>
      <diagonal/>
    </border>
    <border>
      <left/>
      <right/>
      <top style="thin">
        <color auto="1"/>
      </top>
      <bottom/>
      <diagonal/>
    </border>
  </borders>
  <cellStyleXfs count="2">
    <xf numFmtId="0" fontId="0" fillId="0" borderId="0"/>
    <xf numFmtId="9" fontId="1" fillId="0" borderId="0" applyFont="0" applyFill="0" applyBorder="0" applyAlignment="0" applyProtection="0"/>
  </cellStyleXfs>
  <cellXfs count="74">
    <xf numFmtId="0" fontId="0" fillId="0" borderId="0" xfId="0"/>
    <xf numFmtId="0" fontId="3" fillId="4" borderId="0" xfId="0" applyFont="1" applyFill="1" applyAlignment="1">
      <alignment horizontal="center" vertical="center"/>
    </xf>
    <xf numFmtId="0" fontId="0" fillId="6" borderId="0" xfId="0" applyFill="1"/>
    <xf numFmtId="164" fontId="0" fillId="0" borderId="0" xfId="0" applyNumberFormat="1"/>
    <xf numFmtId="0" fontId="0" fillId="7" borderId="0" xfId="0" applyFill="1"/>
    <xf numFmtId="0" fontId="0" fillId="8" borderId="0" xfId="0" applyFill="1"/>
    <xf numFmtId="0" fontId="5" fillId="7" borderId="0" xfId="0" applyFont="1" applyFill="1"/>
    <xf numFmtId="0" fontId="6" fillId="4" borderId="0" xfId="0" applyFont="1" applyFill="1" applyAlignment="1">
      <alignment horizontal="center" vertical="center"/>
    </xf>
    <xf numFmtId="0" fontId="7" fillId="4" borderId="0" xfId="0" applyFont="1" applyFill="1" applyAlignment="1">
      <alignment horizontal="center" vertical="center"/>
    </xf>
    <xf numFmtId="0" fontId="7" fillId="0" borderId="0" xfId="0" applyFont="1" applyAlignment="1">
      <alignment horizontal="center" vertical="center"/>
    </xf>
    <xf numFmtId="0" fontId="0" fillId="11" borderId="0" xfId="0" applyFill="1"/>
    <xf numFmtId="0" fontId="9" fillId="11" borderId="0" xfId="0" applyFont="1" applyFill="1"/>
    <xf numFmtId="0" fontId="0" fillId="12" borderId="0" xfId="0" applyFill="1"/>
    <xf numFmtId="0" fontId="4" fillId="9" borderId="2" xfId="0" applyFont="1" applyFill="1" applyBorder="1" applyAlignment="1">
      <alignment horizontal="left" vertical="center"/>
    </xf>
    <xf numFmtId="0" fontId="4" fillId="0" borderId="2" xfId="0" applyFont="1" applyBorder="1" applyAlignment="1">
      <alignment horizontal="left" vertical="center"/>
    </xf>
    <xf numFmtId="0" fontId="4" fillId="14" borderId="2" xfId="0" applyFont="1" applyFill="1" applyBorder="1" applyAlignment="1">
      <alignment horizontal="center" vertical="center" wrapText="1"/>
    </xf>
    <xf numFmtId="165" fontId="10" fillId="12" borderId="0" xfId="0" applyNumberFormat="1" applyFont="1" applyFill="1" applyAlignment="1">
      <alignment horizontal="center"/>
    </xf>
    <xf numFmtId="0" fontId="9" fillId="11" borderId="0" xfId="0" applyFont="1" applyFill="1" applyAlignment="1">
      <alignment horizontal="center"/>
    </xf>
    <xf numFmtId="0" fontId="0" fillId="12" borderId="3" xfId="0" applyFill="1" applyBorder="1"/>
    <xf numFmtId="0" fontId="0" fillId="12" borderId="2" xfId="0" applyFill="1" applyBorder="1"/>
    <xf numFmtId="0" fontId="0" fillId="8" borderId="2" xfId="0" applyFill="1" applyBorder="1" applyAlignment="1">
      <alignment horizontal="center"/>
    </xf>
    <xf numFmtId="0" fontId="4" fillId="18" borderId="0" xfId="0" applyFont="1" applyFill="1" applyAlignment="1">
      <alignment horizontal="left" vertical="center"/>
    </xf>
    <xf numFmtId="0" fontId="4" fillId="0" borderId="0" xfId="0" applyFont="1" applyAlignment="1">
      <alignment horizontal="left" vertical="center"/>
    </xf>
    <xf numFmtId="0" fontId="0" fillId="0" borderId="0" xfId="0" applyAlignment="1">
      <alignment horizontal="center"/>
    </xf>
    <xf numFmtId="0" fontId="8" fillId="10" borderId="11" xfId="0" applyFont="1" applyFill="1" applyBorder="1" applyAlignment="1">
      <alignment horizontal="left" vertical="center"/>
    </xf>
    <xf numFmtId="0" fontId="8" fillId="10" borderId="13" xfId="0" applyFont="1" applyFill="1" applyBorder="1" applyAlignment="1">
      <alignment horizontal="left" vertical="center"/>
    </xf>
    <xf numFmtId="0" fontId="15" fillId="0" borderId="0" xfId="0" applyFont="1" applyAlignment="1">
      <alignment horizontal="center"/>
    </xf>
    <xf numFmtId="0" fontId="16" fillId="0" borderId="0" xfId="0" applyFont="1" applyAlignment="1">
      <alignment horizontal="center"/>
    </xf>
    <xf numFmtId="0" fontId="17" fillId="0" borderId="0" xfId="0" applyFont="1" applyAlignment="1">
      <alignment horizontal="center"/>
    </xf>
    <xf numFmtId="9" fontId="17" fillId="0" borderId="0" xfId="1" applyFont="1" applyAlignment="1">
      <alignment horizontal="center"/>
    </xf>
    <xf numFmtId="0" fontId="0" fillId="21" borderId="0" xfId="0" applyFill="1"/>
    <xf numFmtId="0" fontId="0" fillId="19" borderId="7" xfId="0" applyFill="1" applyBorder="1" applyAlignment="1">
      <alignment horizontal="center"/>
    </xf>
    <xf numFmtId="0" fontId="14" fillId="20" borderId="9" xfId="0" applyFont="1" applyFill="1" applyBorder="1" applyAlignment="1">
      <alignment horizontal="center"/>
    </xf>
    <xf numFmtId="9" fontId="14" fillId="20" borderId="5" xfId="1" applyFont="1" applyFill="1" applyBorder="1" applyAlignment="1">
      <alignment horizontal="center"/>
    </xf>
    <xf numFmtId="0" fontId="0" fillId="19" borderId="16" xfId="0" applyFill="1" applyBorder="1" applyAlignment="1">
      <alignment horizontal="center"/>
    </xf>
    <xf numFmtId="0" fontId="14" fillId="20" borderId="6" xfId="0" applyFont="1" applyFill="1" applyBorder="1" applyAlignment="1">
      <alignment horizontal="center"/>
    </xf>
    <xf numFmtId="9" fontId="14" fillId="20" borderId="7" xfId="1" applyFont="1" applyFill="1" applyBorder="1" applyAlignment="1">
      <alignment horizontal="center"/>
    </xf>
    <xf numFmtId="165" fontId="5" fillId="0" borderId="0" xfId="0" applyNumberFormat="1" applyFont="1"/>
    <xf numFmtId="165" fontId="0" fillId="0" borderId="0" xfId="0" applyNumberFormat="1"/>
    <xf numFmtId="0" fontId="0" fillId="0" borderId="5" xfId="0" applyBorder="1"/>
    <xf numFmtId="0" fontId="5" fillId="12" borderId="5" xfId="0" applyFont="1" applyFill="1" applyBorder="1" applyAlignment="1">
      <alignment horizontal="center"/>
    </xf>
    <xf numFmtId="0" fontId="0" fillId="12" borderId="5" xfId="0" applyFill="1" applyBorder="1"/>
    <xf numFmtId="0" fontId="0" fillId="13" borderId="5" xfId="0" applyFill="1" applyBorder="1" applyAlignment="1">
      <alignment horizontal="center"/>
    </xf>
    <xf numFmtId="0" fontId="0" fillId="13" borderId="5" xfId="0" applyFill="1" applyBorder="1"/>
    <xf numFmtId="0" fontId="0" fillId="0" borderId="0" xfId="0" applyAlignment="1">
      <alignment wrapText="1"/>
    </xf>
    <xf numFmtId="0" fontId="20" fillId="0" borderId="0" xfId="0" applyFont="1" applyAlignment="1">
      <alignment horizontal="left" vertical="top" wrapText="1"/>
    </xf>
    <xf numFmtId="0" fontId="0" fillId="23" borderId="0" xfId="0" applyFill="1"/>
    <xf numFmtId="0" fontId="0" fillId="23" borderId="0" xfId="0" applyFill="1" applyAlignment="1">
      <alignment horizontal="center"/>
    </xf>
    <xf numFmtId="0" fontId="21" fillId="0" borderId="0" xfId="0" applyFont="1" applyAlignment="1">
      <alignment horizontal="left" vertical="center"/>
    </xf>
    <xf numFmtId="0" fontId="0" fillId="19" borderId="17" xfId="0" applyFill="1" applyBorder="1" applyAlignment="1">
      <alignment horizontal="center"/>
    </xf>
    <xf numFmtId="0" fontId="14" fillId="20" borderId="5" xfId="0" applyFont="1" applyFill="1" applyBorder="1" applyAlignment="1">
      <alignment horizontal="center"/>
    </xf>
    <xf numFmtId="0" fontId="21" fillId="0" borderId="0" xfId="0" applyFont="1"/>
    <xf numFmtId="0" fontId="21" fillId="0" borderId="0" xfId="0" applyFont="1" applyAlignment="1">
      <alignment vertical="center"/>
    </xf>
    <xf numFmtId="0" fontId="21" fillId="0" borderId="0" xfId="0" applyFont="1" applyAlignment="1">
      <alignment horizontal="center"/>
    </xf>
    <xf numFmtId="0" fontId="21" fillId="0" borderId="0" xfId="0" applyFont="1" applyAlignment="1">
      <alignment horizontal="center" vertical="center"/>
    </xf>
    <xf numFmtId="0" fontId="22" fillId="22" borderId="0" xfId="0" applyFont="1" applyFill="1"/>
    <xf numFmtId="0" fontId="23" fillId="22" borderId="0" xfId="0" applyFont="1" applyFill="1"/>
    <xf numFmtId="0" fontId="21" fillId="23" borderId="0" xfId="0" applyFont="1" applyFill="1" applyAlignment="1">
      <alignment horizontal="center" vertical="center"/>
    </xf>
    <xf numFmtId="0" fontId="0" fillId="2" borderId="0" xfId="0" applyFill="1"/>
    <xf numFmtId="0" fontId="2" fillId="3" borderId="0" xfId="0" applyFont="1" applyFill="1" applyAlignment="1">
      <alignment horizontal="center" vertical="center"/>
    </xf>
    <xf numFmtId="0" fontId="3" fillId="4" borderId="0" xfId="0" applyFont="1" applyFill="1" applyAlignment="1">
      <alignment horizontal="center" vertical="center"/>
    </xf>
    <xf numFmtId="0" fontId="11" fillId="16" borderId="1" xfId="0" applyFont="1" applyFill="1" applyBorder="1" applyAlignment="1">
      <alignment horizontal="center" vertical="center"/>
    </xf>
    <xf numFmtId="0" fontId="4" fillId="5" borderId="0" xfId="0" applyFont="1" applyFill="1" applyAlignment="1">
      <alignment horizontal="left" vertical="center"/>
    </xf>
    <xf numFmtId="0" fontId="13" fillId="15" borderId="10" xfId="0" applyFont="1" applyFill="1" applyBorder="1" applyAlignment="1">
      <alignment horizontal="center" vertical="center"/>
    </xf>
    <xf numFmtId="0" fontId="12" fillId="17" borderId="4" xfId="0" applyFont="1" applyFill="1" applyBorder="1" applyAlignment="1">
      <alignment horizontal="center" vertical="center"/>
    </xf>
    <xf numFmtId="0" fontId="8" fillId="10" borderId="11" xfId="0" applyFont="1" applyFill="1" applyBorder="1" applyAlignment="1">
      <alignment horizontal="left" vertical="center"/>
    </xf>
    <xf numFmtId="0" fontId="8" fillId="10" borderId="13" xfId="0" applyFont="1" applyFill="1" applyBorder="1" applyAlignment="1">
      <alignment horizontal="left" vertical="center"/>
    </xf>
    <xf numFmtId="0" fontId="8" fillId="10" borderId="14" xfId="0" applyFont="1" applyFill="1" applyBorder="1" applyAlignment="1">
      <alignment horizontal="left" vertical="center"/>
    </xf>
    <xf numFmtId="0" fontId="8" fillId="10" borderId="15" xfId="0" applyFont="1" applyFill="1" applyBorder="1" applyAlignment="1">
      <alignment horizontal="left" vertical="center"/>
    </xf>
    <xf numFmtId="0" fontId="8" fillId="10" borderId="12" xfId="0" applyFont="1" applyFill="1" applyBorder="1" applyAlignment="1">
      <alignment horizontal="left" vertical="center"/>
    </xf>
    <xf numFmtId="0" fontId="4" fillId="9" borderId="1" xfId="0" applyFont="1" applyFill="1" applyBorder="1" applyAlignment="1">
      <alignment horizontal="left" vertical="center"/>
    </xf>
    <xf numFmtId="0" fontId="4" fillId="9" borderId="8" xfId="0" applyFont="1" applyFill="1" applyBorder="1" applyAlignment="1">
      <alignment horizontal="left" vertical="center"/>
    </xf>
    <xf numFmtId="0" fontId="7" fillId="4" borderId="0" xfId="0" applyFont="1" applyFill="1" applyAlignment="1">
      <alignment horizontal="center" vertical="center"/>
    </xf>
    <xf numFmtId="0" fontId="3" fillId="4" borderId="0" xfId="0" applyFont="1" applyFill="1" applyAlignment="1">
      <alignment horizontal="left" vertical="top"/>
    </xf>
  </cellXfs>
  <cellStyles count="2">
    <cellStyle name="Procent" xfId="1" builtinId="5"/>
    <cellStyle name="Standaard" xfId="0" builtinId="0"/>
  </cellStyles>
  <dxfs count="0"/>
  <tableStyles count="0" defaultTableStyle="TableStyleMedium2" defaultPivotStyle="PivotStyleLight16"/>
  <colors>
    <mruColors>
      <color rgb="FFE8E8E8"/>
      <color rgb="FFE87722"/>
      <color rgb="FFF0BE4D"/>
      <color rgb="FFCCCCCC"/>
      <color rgb="FFC8A96E"/>
      <color rgb="FFF5E8B5"/>
      <color rgb="FFFBE2D5"/>
      <color rgb="FFFFF3E0"/>
      <color rgb="FFFFEBEE"/>
      <color rgb="FFFF8B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3556000</xdr:colOff>
      <xdr:row>12</xdr:row>
      <xdr:rowOff>50800</xdr:rowOff>
    </xdr:from>
    <xdr:ext cx="184731" cy="264560"/>
    <xdr:sp macro="" textlink="">
      <xdr:nvSpPr>
        <xdr:cNvPr id="2" name="Tekstvak 1">
          <a:extLst>
            <a:ext uri="{FF2B5EF4-FFF2-40B4-BE49-F238E27FC236}">
              <a16:creationId xmlns:a16="http://schemas.microsoft.com/office/drawing/2014/main" id="{E98002D4-4034-F41A-7686-1138FB2C6E35}"/>
            </a:ext>
          </a:extLst>
        </xdr:cNvPr>
        <xdr:cNvSpPr txBox="1"/>
      </xdr:nvSpPr>
      <xdr:spPr>
        <a:xfrm>
          <a:off x="3843867" y="257386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nl-NL" sz="1100"/>
        </a:p>
      </xdr:txBody>
    </xdr:sp>
    <xdr:clientData/>
  </xdr:oneCellAnchor>
  <xdr:twoCellAnchor>
    <xdr:from>
      <xdr:col>1</xdr:col>
      <xdr:colOff>0</xdr:colOff>
      <xdr:row>5</xdr:row>
      <xdr:rowOff>0</xdr:rowOff>
    </xdr:from>
    <xdr:to>
      <xdr:col>7</xdr:col>
      <xdr:colOff>0</xdr:colOff>
      <xdr:row>13</xdr:row>
      <xdr:rowOff>0</xdr:rowOff>
    </xdr:to>
    <xdr:sp macro="" textlink="">
      <xdr:nvSpPr>
        <xdr:cNvPr id="3" name="Tekstvak 2">
          <a:extLst>
            <a:ext uri="{FF2B5EF4-FFF2-40B4-BE49-F238E27FC236}">
              <a16:creationId xmlns:a16="http://schemas.microsoft.com/office/drawing/2014/main" id="{99F7FCD5-FD1E-7F29-735B-F99D1B2F6491}"/>
            </a:ext>
          </a:extLst>
        </xdr:cNvPr>
        <xdr:cNvSpPr txBox="1"/>
      </xdr:nvSpPr>
      <xdr:spPr>
        <a:xfrm>
          <a:off x="298824" y="1120588"/>
          <a:ext cx="8486588" cy="1688353"/>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000" b="0" i="0">
              <a:solidFill>
                <a:schemeClr val="dk1"/>
              </a:solidFill>
              <a:effectLst/>
              <a:latin typeface="Arial" panose="020B0604020202020204" pitchFamily="34" charset="0"/>
              <a:ea typeface="+mn-ea"/>
              <a:cs typeface="Arial" panose="020B0604020202020204" pitchFamily="34" charset="0"/>
            </a:rPr>
            <a:t>De SamenLeefMeter is ontwikkeld als aanvulling op het SamenLeefKompas en vormt samen met het SamenLeefKompas de beoordelingsmethodiek die is ontwikkeld in het kader van het afstudeeronderzoek </a:t>
          </a:r>
          <a:r>
            <a:rPr lang="nl-NL" sz="1000" b="0" i="1">
              <a:solidFill>
                <a:schemeClr val="dk1"/>
              </a:solidFill>
              <a:effectLst/>
              <a:latin typeface="Arial" panose="020B0604020202020204" pitchFamily="34" charset="0"/>
              <a:ea typeface="+mn-ea"/>
              <a:cs typeface="Arial" panose="020B0604020202020204" pitchFamily="34" charset="0"/>
            </a:rPr>
            <a:t>Sloop of transformatie?</a:t>
          </a:r>
          <a:r>
            <a:rPr lang="nl-NL" sz="1000" b="0" i="0">
              <a:solidFill>
                <a:schemeClr val="dk1"/>
              </a:solidFill>
              <a:effectLst/>
              <a:latin typeface="Arial" panose="020B0604020202020204" pitchFamily="34" charset="0"/>
              <a:ea typeface="+mn-ea"/>
              <a:cs typeface="Arial" panose="020B0604020202020204" pitchFamily="34" charset="0"/>
            </a:rPr>
            <a:t> (Van Dalfzen, 2026).</a:t>
          </a:r>
        </a:p>
        <a:p>
          <a:endParaRPr lang="nl-NL" sz="1000" b="0" i="0">
            <a:solidFill>
              <a:schemeClr val="dk1"/>
            </a:solidFill>
            <a:effectLst/>
            <a:latin typeface="Arial" panose="020B0604020202020204" pitchFamily="34" charset="0"/>
            <a:ea typeface="+mn-ea"/>
            <a:cs typeface="Arial" panose="020B0604020202020204" pitchFamily="34" charset="0"/>
          </a:endParaRPr>
        </a:p>
        <a:p>
          <a:r>
            <a:rPr lang="nl-NL" sz="1000" b="0" i="0">
              <a:solidFill>
                <a:schemeClr val="dk1"/>
              </a:solidFill>
              <a:effectLst/>
              <a:latin typeface="Arial" panose="020B0604020202020204" pitchFamily="34" charset="0"/>
              <a:ea typeface="+mn-ea"/>
              <a:cs typeface="Arial" panose="020B0604020202020204" pitchFamily="34" charset="0"/>
            </a:rPr>
            <a:t>Waar het SamenLeefKompas de relevante beoordelingsindicatoren visueel weergeeft in een webdiagram, maakt de SamenLeefMeter het mogelijk deze indicatoren te scoren en van een wegingsfactor te voorzien. Op basis hiervan wordt automatisch een gewogen totaalscore berekend, waarmee locaties op een gestructureerde wijze kunnen worden beoordeeld en vergeleken.</a:t>
          </a:r>
        </a:p>
        <a:p>
          <a:endParaRPr lang="nl-NL" sz="1000" b="0" i="0">
            <a:solidFill>
              <a:schemeClr val="dk1"/>
            </a:solidFill>
            <a:effectLst/>
            <a:latin typeface="Arial" panose="020B0604020202020204" pitchFamily="34" charset="0"/>
            <a:ea typeface="+mn-ea"/>
            <a:cs typeface="Arial" panose="020B0604020202020204" pitchFamily="34" charset="0"/>
          </a:endParaRPr>
        </a:p>
        <a:p>
          <a:r>
            <a:rPr lang="nl-NL" sz="1000" b="0" i="0">
              <a:solidFill>
                <a:schemeClr val="dk1"/>
              </a:solidFill>
              <a:effectLst/>
              <a:latin typeface="Arial" panose="020B0604020202020204" pitchFamily="34" charset="0"/>
              <a:ea typeface="+mn-ea"/>
              <a:cs typeface="Arial" panose="020B0604020202020204" pitchFamily="34" charset="0"/>
            </a:rPr>
            <a:t>De uitkomsten ondersteunen HevoFame bij de afweging tussen transformatie en sloop/nieuwbouw van verouderd maatschappelijk vastgoed voor woonzorgconcepten.</a:t>
          </a:r>
        </a:p>
        <a:p>
          <a:endParaRPr lang="nl-NL" sz="1100"/>
        </a:p>
      </xdr:txBody>
    </xdr:sp>
    <xdr:clientData/>
  </xdr:twoCellAnchor>
  <xdr:twoCellAnchor>
    <xdr:from>
      <xdr:col>1</xdr:col>
      <xdr:colOff>14941</xdr:colOff>
      <xdr:row>15</xdr:row>
      <xdr:rowOff>14941</xdr:rowOff>
    </xdr:from>
    <xdr:to>
      <xdr:col>7</xdr:col>
      <xdr:colOff>14941</xdr:colOff>
      <xdr:row>28</xdr:row>
      <xdr:rowOff>1</xdr:rowOff>
    </xdr:to>
    <xdr:sp macro="" textlink="">
      <xdr:nvSpPr>
        <xdr:cNvPr id="4" name="Tekstvak 3">
          <a:extLst>
            <a:ext uri="{FF2B5EF4-FFF2-40B4-BE49-F238E27FC236}">
              <a16:creationId xmlns:a16="http://schemas.microsoft.com/office/drawing/2014/main" id="{43099B70-4BCC-B415-A302-036C74CA3574}"/>
            </a:ext>
          </a:extLst>
        </xdr:cNvPr>
        <xdr:cNvSpPr txBox="1"/>
      </xdr:nvSpPr>
      <xdr:spPr>
        <a:xfrm>
          <a:off x="313765" y="3227294"/>
          <a:ext cx="8486588" cy="2704354"/>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000" b="1" i="0" u="none" strike="noStrike">
              <a:solidFill>
                <a:schemeClr val="dk1"/>
              </a:solidFill>
              <a:effectLst/>
              <a:latin typeface="Arial" panose="020B0604020202020204" pitchFamily="34" charset="0"/>
              <a:ea typeface="+mn-ea"/>
              <a:cs typeface="Arial" panose="020B0604020202020204" pitchFamily="34" charset="0"/>
            </a:rPr>
            <a:t>Stap 1</a:t>
          </a:r>
          <a:r>
            <a:rPr lang="nl-NL" sz="1000" b="0" i="0" u="none" strike="noStrike">
              <a:solidFill>
                <a:schemeClr val="dk1"/>
              </a:solidFill>
              <a:effectLst/>
              <a:latin typeface="Arial" panose="020B0604020202020204" pitchFamily="34" charset="0"/>
              <a:ea typeface="+mn-ea"/>
              <a:cs typeface="Arial" panose="020B0604020202020204" pitchFamily="34" charset="0"/>
            </a:rPr>
            <a:t>: Gebruik eerst het SamenLeefKompas voor een snelle eerste verkenning van de locatie voordat u de SamenLeefMeter invult.</a:t>
          </a:r>
        </a:p>
        <a:p>
          <a:endParaRPr lang="nl-NL" sz="1000" b="0" i="0" u="none" strike="noStrike">
            <a:solidFill>
              <a:schemeClr val="dk1"/>
            </a:solidFill>
            <a:effectLst/>
            <a:latin typeface="Arial" panose="020B0604020202020204" pitchFamily="34" charset="0"/>
            <a:ea typeface="+mn-ea"/>
            <a:cs typeface="Arial" panose="020B0604020202020204" pitchFamily="34" charset="0"/>
          </a:endParaRPr>
        </a:p>
        <a:p>
          <a:r>
            <a:rPr lang="nl-NL" sz="1000" b="1" i="0" u="none" strike="noStrike">
              <a:solidFill>
                <a:schemeClr val="dk1"/>
              </a:solidFill>
              <a:effectLst/>
              <a:latin typeface="Arial" panose="020B0604020202020204" pitchFamily="34" charset="0"/>
              <a:ea typeface="+mn-ea"/>
              <a:cs typeface="Arial" panose="020B0604020202020204" pitchFamily="34" charset="0"/>
            </a:rPr>
            <a:t>Stap</a:t>
          </a:r>
          <a:r>
            <a:rPr lang="nl-NL" sz="1000" b="1" i="0" u="none" strike="noStrike" baseline="0">
              <a:solidFill>
                <a:schemeClr val="dk1"/>
              </a:solidFill>
              <a:effectLst/>
              <a:latin typeface="Arial" panose="020B0604020202020204" pitchFamily="34" charset="0"/>
              <a:ea typeface="+mn-ea"/>
              <a:cs typeface="Arial" panose="020B0604020202020204" pitchFamily="34" charset="0"/>
            </a:rPr>
            <a:t> 2</a:t>
          </a:r>
          <a:r>
            <a:rPr lang="nl-NL" sz="1000" b="0" i="0" u="none" strike="noStrike">
              <a:solidFill>
                <a:schemeClr val="dk1"/>
              </a:solidFill>
              <a:effectLst/>
              <a:latin typeface="Arial" panose="020B0604020202020204" pitchFamily="34" charset="0"/>
              <a:ea typeface="+mn-ea"/>
              <a:cs typeface="Arial" panose="020B0604020202020204" pitchFamily="34" charset="0"/>
            </a:rPr>
            <a:t>: Vul de scores in Ga naar het tabblad Beoordeling en beoordeel iedere indicator op een schaal van 1 tot 10, waarbij 1 staat voor zeer ongeschikt en 10 voor uitstekend geschikt. Baseer de beoordeling op beschikbare projectinformatie, locatieonderzoek en professioneel oordeel.</a:t>
          </a:r>
        </a:p>
        <a:p>
          <a:endParaRPr lang="nl-NL" sz="1000" b="0" i="0" u="none" strike="noStrike">
            <a:solidFill>
              <a:schemeClr val="dk1"/>
            </a:solidFill>
            <a:effectLst/>
            <a:latin typeface="Arial" panose="020B0604020202020204" pitchFamily="34" charset="0"/>
            <a:ea typeface="+mn-ea"/>
            <a:cs typeface="Arial" panose="020B0604020202020204" pitchFamily="34" charset="0"/>
          </a:endParaRPr>
        </a:p>
        <a:p>
          <a:r>
            <a:rPr lang="nl-NL" sz="1000" b="1" i="0" u="none" strike="noStrike">
              <a:solidFill>
                <a:schemeClr val="dk1"/>
              </a:solidFill>
              <a:effectLst/>
              <a:latin typeface="Arial" panose="020B0604020202020204" pitchFamily="34" charset="0"/>
              <a:ea typeface="+mn-ea"/>
              <a:cs typeface="Arial" panose="020B0604020202020204" pitchFamily="34" charset="0"/>
            </a:rPr>
            <a:t>Stap 3</a:t>
          </a:r>
          <a:r>
            <a:rPr lang="nl-NL" sz="1000" b="0" i="0" u="none" strike="noStrike">
              <a:solidFill>
                <a:schemeClr val="dk1"/>
              </a:solidFill>
              <a:effectLst/>
              <a:latin typeface="Arial" panose="020B0604020202020204" pitchFamily="34" charset="0"/>
              <a:ea typeface="+mn-ea"/>
              <a:cs typeface="Arial" panose="020B0604020202020204" pitchFamily="34" charset="0"/>
            </a:rPr>
            <a:t>: Controleer de wegingsfactoren De standaardwegingsfactoren zijn gebaseerd op de resultaten van het afstudeeronderzoek. Indien gewenst kunnen deze in het tabblad Wegingen worden aangepast aan de specifieke projectcontext of organisatiedoelstellingen van HevoFame. </a:t>
          </a:r>
        </a:p>
        <a:p>
          <a:endParaRPr lang="nl-NL" sz="1000" b="0" i="0" u="none" strike="noStrike">
            <a:solidFill>
              <a:schemeClr val="dk1"/>
            </a:solidFill>
            <a:effectLst/>
            <a:latin typeface="Arial" panose="020B0604020202020204" pitchFamily="34" charset="0"/>
            <a:ea typeface="+mn-ea"/>
            <a:cs typeface="Arial" panose="020B0604020202020204" pitchFamily="34" charset="0"/>
          </a:endParaRPr>
        </a:p>
        <a:p>
          <a:r>
            <a:rPr lang="nl-NL" sz="1000" b="1" i="0" u="none" strike="noStrike">
              <a:solidFill>
                <a:schemeClr val="dk1"/>
              </a:solidFill>
              <a:effectLst/>
              <a:latin typeface="Arial" panose="020B0604020202020204" pitchFamily="34" charset="0"/>
              <a:ea typeface="+mn-ea"/>
              <a:cs typeface="Arial" panose="020B0604020202020204" pitchFamily="34" charset="0"/>
            </a:rPr>
            <a:t>Stap 4</a:t>
          </a:r>
          <a:r>
            <a:rPr lang="nl-NL" sz="1000" b="0" i="0" u="none" strike="noStrike">
              <a:solidFill>
                <a:schemeClr val="dk1"/>
              </a:solidFill>
              <a:effectLst/>
              <a:latin typeface="Arial" panose="020B0604020202020204" pitchFamily="34" charset="0"/>
              <a:ea typeface="+mn-ea"/>
              <a:cs typeface="Arial" panose="020B0604020202020204" pitchFamily="34" charset="0"/>
            </a:rPr>
            <a:t>: Analyseer de resultaten De SamenLeefMeter berekent automatisch de gewogen scores per categorie en een totaalscore. De resultaten zijn zichtbaar in het tabblad Dashboard. </a:t>
          </a:r>
        </a:p>
        <a:p>
          <a:endParaRPr lang="nl-NL" sz="1000" b="0" i="0" u="none" strike="noStrike">
            <a:solidFill>
              <a:schemeClr val="dk1"/>
            </a:solidFill>
            <a:effectLst/>
            <a:latin typeface="Arial" panose="020B0604020202020204" pitchFamily="34" charset="0"/>
            <a:ea typeface="+mn-ea"/>
            <a:cs typeface="Arial" panose="020B0604020202020204" pitchFamily="34" charset="0"/>
          </a:endParaRPr>
        </a:p>
        <a:p>
          <a:r>
            <a:rPr lang="nl-NL" sz="1000" b="1" i="0" u="none" strike="noStrike">
              <a:solidFill>
                <a:schemeClr val="dk1"/>
              </a:solidFill>
              <a:effectLst/>
              <a:latin typeface="Arial" panose="020B0604020202020204" pitchFamily="34" charset="0"/>
              <a:ea typeface="+mn-ea"/>
              <a:cs typeface="Arial" panose="020B0604020202020204" pitchFamily="34" charset="0"/>
            </a:rPr>
            <a:t>Stap 5:</a:t>
          </a:r>
          <a:r>
            <a:rPr lang="nl-NL" sz="1000" b="0" i="0" u="none" strike="noStrike">
              <a:solidFill>
                <a:schemeClr val="dk1"/>
              </a:solidFill>
              <a:effectLst/>
              <a:latin typeface="Arial" panose="020B0604020202020204" pitchFamily="34" charset="0"/>
              <a:ea typeface="+mn-ea"/>
              <a:cs typeface="Arial" panose="020B0604020202020204" pitchFamily="34" charset="0"/>
            </a:rPr>
            <a:t> Vergelijk locaties Gebruik indien gewenst het tabblad Vergelijking om meerdere locaties met elkaar te vergelijken op basis van de behaalde scores. </a:t>
          </a:r>
        </a:p>
        <a:p>
          <a:endParaRPr lang="nl-NL" sz="1000" b="0" i="0" u="none" strike="noStrike">
            <a:solidFill>
              <a:schemeClr val="dk1"/>
            </a:solidFill>
            <a:effectLst/>
            <a:latin typeface="Arial" panose="020B0604020202020204" pitchFamily="34" charset="0"/>
            <a:ea typeface="+mn-ea"/>
            <a:cs typeface="Arial" panose="020B0604020202020204" pitchFamily="34" charset="0"/>
          </a:endParaRPr>
        </a:p>
        <a:p>
          <a:r>
            <a:rPr lang="nl-NL" sz="1000" b="1" i="0" u="none" strike="noStrike">
              <a:solidFill>
                <a:schemeClr val="dk1"/>
              </a:solidFill>
              <a:effectLst/>
              <a:latin typeface="Arial" panose="020B0604020202020204" pitchFamily="34" charset="0"/>
              <a:ea typeface="+mn-ea"/>
              <a:cs typeface="Arial" panose="020B0604020202020204" pitchFamily="34" charset="0"/>
            </a:rPr>
            <a:t>Stap 6</a:t>
          </a:r>
          <a:r>
            <a:rPr lang="nl-NL" sz="1000" b="0" i="0" u="none" strike="noStrike">
              <a:solidFill>
                <a:schemeClr val="dk1"/>
              </a:solidFill>
              <a:effectLst/>
              <a:latin typeface="Arial" panose="020B0604020202020204" pitchFamily="34" charset="0"/>
              <a:ea typeface="+mn-ea"/>
              <a:cs typeface="Arial" panose="020B0604020202020204" pitchFamily="34" charset="0"/>
            </a:rPr>
            <a:t>: Gebruik de uitkomsten als ondersteuning van de besluitvorming De resultaten bieden inzicht in de geschiktheid van verouderd maatschappelijk vastgoed voor de ontwikkeling van woonzorgconcepten en ondersteunen de afweging tussen transformatie en sloop/nieuwbouw.</a:t>
          </a:r>
          <a:endParaRPr lang="nl-NL" sz="1000">
            <a:latin typeface="Arial" panose="020B0604020202020204" pitchFamily="34" charset="0"/>
            <a:cs typeface="Arial" panose="020B0604020202020204" pitchFamily="34" charset="0"/>
          </a:endParaRPr>
        </a:p>
      </xdr:txBody>
    </xdr:sp>
    <xdr:clientData/>
  </xdr:twoCellAnchor>
  <xdr:twoCellAnchor>
    <xdr:from>
      <xdr:col>1</xdr:col>
      <xdr:colOff>14941</xdr:colOff>
      <xdr:row>30</xdr:row>
      <xdr:rowOff>14941</xdr:rowOff>
    </xdr:from>
    <xdr:to>
      <xdr:col>7</xdr:col>
      <xdr:colOff>0</xdr:colOff>
      <xdr:row>37</xdr:row>
      <xdr:rowOff>108857</xdr:rowOff>
    </xdr:to>
    <xdr:sp macro="" textlink="">
      <xdr:nvSpPr>
        <xdr:cNvPr id="5" name="Tekstvak 4">
          <a:extLst>
            <a:ext uri="{FF2B5EF4-FFF2-40B4-BE49-F238E27FC236}">
              <a16:creationId xmlns:a16="http://schemas.microsoft.com/office/drawing/2014/main" id="{013C26F2-EAFD-6AD4-19EC-8836C3C30863}"/>
            </a:ext>
          </a:extLst>
        </xdr:cNvPr>
        <xdr:cNvSpPr txBox="1"/>
      </xdr:nvSpPr>
      <xdr:spPr>
        <a:xfrm>
          <a:off x="305227" y="6092798"/>
          <a:ext cx="12104487" cy="1490916"/>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000">
              <a:latin typeface="Arial" panose="020B0604020202020204" pitchFamily="34" charset="0"/>
              <a:cs typeface="Arial" panose="020B0604020202020204" pitchFamily="34" charset="0"/>
            </a:rPr>
            <a:t>Score 1-2 = Zeer ongeschikt</a:t>
          </a:r>
        </a:p>
        <a:p>
          <a:endParaRPr lang="nl-NL" sz="1000">
            <a:latin typeface="Arial" panose="020B0604020202020204" pitchFamily="34" charset="0"/>
            <a:cs typeface="Arial" panose="020B0604020202020204" pitchFamily="34" charset="0"/>
          </a:endParaRPr>
        </a:p>
        <a:p>
          <a:r>
            <a:rPr lang="nl-NL" sz="1000">
              <a:latin typeface="Arial" panose="020B0604020202020204" pitchFamily="34" charset="0"/>
              <a:cs typeface="Arial" panose="020B0604020202020204" pitchFamily="34" charset="0"/>
            </a:rPr>
            <a:t>Score 3-4 = Onvoldoende</a:t>
          </a:r>
        </a:p>
        <a:p>
          <a:endParaRPr lang="nl-NL" sz="1000">
            <a:latin typeface="Arial" panose="020B0604020202020204" pitchFamily="34" charset="0"/>
            <a:cs typeface="Arial" panose="020B0604020202020204" pitchFamily="34" charset="0"/>
          </a:endParaRPr>
        </a:p>
        <a:p>
          <a:r>
            <a:rPr lang="nl-NL" sz="1000">
              <a:latin typeface="Arial" panose="020B0604020202020204" pitchFamily="34" charset="0"/>
              <a:cs typeface="Arial" panose="020B0604020202020204" pitchFamily="34" charset="0"/>
            </a:rPr>
            <a:t>Score 5-6 = Matig/neutraal</a:t>
          </a:r>
        </a:p>
        <a:p>
          <a:endParaRPr lang="nl-NL" sz="1000">
            <a:latin typeface="Arial" panose="020B0604020202020204" pitchFamily="34" charset="0"/>
            <a:cs typeface="Arial" panose="020B0604020202020204" pitchFamily="34" charset="0"/>
          </a:endParaRPr>
        </a:p>
        <a:p>
          <a:r>
            <a:rPr lang="nl-NL" sz="1000">
              <a:latin typeface="Arial" panose="020B0604020202020204" pitchFamily="34" charset="0"/>
              <a:cs typeface="Arial" panose="020B0604020202020204" pitchFamily="34" charset="0"/>
            </a:rPr>
            <a:t>Score 7-8 = Goed</a:t>
          </a:r>
        </a:p>
        <a:p>
          <a:endParaRPr lang="nl-NL" sz="1000">
            <a:latin typeface="Arial" panose="020B0604020202020204" pitchFamily="34" charset="0"/>
            <a:cs typeface="Arial" panose="020B0604020202020204" pitchFamily="34" charset="0"/>
          </a:endParaRPr>
        </a:p>
        <a:p>
          <a:r>
            <a:rPr lang="nl-NL" sz="1000">
              <a:latin typeface="Arial" panose="020B0604020202020204" pitchFamily="34" charset="0"/>
              <a:cs typeface="Arial" panose="020B0604020202020204" pitchFamily="34" charset="0"/>
            </a:rPr>
            <a:t>Score 9-10 = Uitstekend geschikt</a:t>
          </a:r>
        </a:p>
      </xdr:txBody>
    </xdr:sp>
    <xdr:clientData/>
  </xdr:twoCellAnchor>
  <xdr:twoCellAnchor>
    <xdr:from>
      <xdr:col>1</xdr:col>
      <xdr:colOff>0</xdr:colOff>
      <xdr:row>39</xdr:row>
      <xdr:rowOff>14939</xdr:rowOff>
    </xdr:from>
    <xdr:to>
      <xdr:col>7</xdr:col>
      <xdr:colOff>14941</xdr:colOff>
      <xdr:row>49</xdr:row>
      <xdr:rowOff>169332</xdr:rowOff>
    </xdr:to>
    <xdr:sp macro="" textlink="">
      <xdr:nvSpPr>
        <xdr:cNvPr id="6" name="Tekstvak 5">
          <a:extLst>
            <a:ext uri="{FF2B5EF4-FFF2-40B4-BE49-F238E27FC236}">
              <a16:creationId xmlns:a16="http://schemas.microsoft.com/office/drawing/2014/main" id="{19B16FD5-285B-0893-82C3-2907D44D3D94}"/>
            </a:ext>
          </a:extLst>
        </xdr:cNvPr>
        <xdr:cNvSpPr txBox="1"/>
      </xdr:nvSpPr>
      <xdr:spPr>
        <a:xfrm>
          <a:off x="287867" y="8024406"/>
          <a:ext cx="12122274" cy="2186393"/>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000" b="1" i="0">
              <a:solidFill>
                <a:schemeClr val="dk1"/>
              </a:solidFill>
              <a:effectLst/>
              <a:latin typeface="Arial" panose="020B0604020202020204" pitchFamily="34" charset="0"/>
              <a:ea typeface="+mn-ea"/>
              <a:cs typeface="Arial" panose="020B0604020202020204" pitchFamily="34" charset="0"/>
            </a:rPr>
            <a:t>GO</a:t>
          </a:r>
          <a:br>
            <a:rPr lang="nl-NL" sz="1000" b="0" i="0">
              <a:solidFill>
                <a:schemeClr val="dk1"/>
              </a:solidFill>
              <a:effectLst/>
              <a:latin typeface="Arial" panose="020B0604020202020204" pitchFamily="34" charset="0"/>
              <a:ea typeface="+mn-ea"/>
              <a:cs typeface="Arial" panose="020B0604020202020204" pitchFamily="34" charset="0"/>
            </a:rPr>
          </a:br>
          <a:r>
            <a:rPr lang="nl-NL" sz="1000" b="0" i="0">
              <a:solidFill>
                <a:schemeClr val="dk1"/>
              </a:solidFill>
              <a:effectLst/>
              <a:latin typeface="Arial" panose="020B0604020202020204" pitchFamily="34" charset="0"/>
              <a:ea typeface="+mn-ea"/>
              <a:cs typeface="Arial" panose="020B0604020202020204" pitchFamily="34" charset="0"/>
            </a:rPr>
            <a:t>Score van </a:t>
          </a:r>
          <a:r>
            <a:rPr lang="nl-NL" sz="1000" b="1" i="0">
              <a:solidFill>
                <a:schemeClr val="dk1"/>
              </a:solidFill>
              <a:effectLst/>
              <a:latin typeface="Arial" panose="020B0604020202020204" pitchFamily="34" charset="0"/>
              <a:ea typeface="+mn-ea"/>
              <a:cs typeface="Arial" panose="020B0604020202020204" pitchFamily="34" charset="0"/>
            </a:rPr>
            <a:t>70 of hoger</a:t>
          </a:r>
          <a:r>
            <a:rPr lang="nl-NL" sz="1000" b="0" i="0">
              <a:solidFill>
                <a:schemeClr val="dk1"/>
              </a:solidFill>
              <a:effectLst/>
              <a:latin typeface="Arial" panose="020B0604020202020204" pitchFamily="34" charset="0"/>
              <a:ea typeface="+mn-ea"/>
              <a:cs typeface="Arial" panose="020B0604020202020204" pitchFamily="34" charset="0"/>
            </a:rPr>
            <a:t>. De locatie is geschikt voor verdere verkenning ten behoeve van de ontwikkeling van een woonzorgconcept.</a:t>
          </a:r>
        </a:p>
        <a:p>
          <a:endParaRPr lang="nl-NL" sz="1000" b="0" i="0">
            <a:solidFill>
              <a:schemeClr val="dk1"/>
            </a:solidFill>
            <a:effectLst/>
            <a:latin typeface="Arial" panose="020B0604020202020204" pitchFamily="34" charset="0"/>
            <a:ea typeface="+mn-ea"/>
            <a:cs typeface="Arial" panose="020B0604020202020204" pitchFamily="34" charset="0"/>
          </a:endParaRPr>
        </a:p>
        <a:p>
          <a:r>
            <a:rPr lang="nl-NL" sz="1000" b="1" i="0">
              <a:solidFill>
                <a:schemeClr val="dk1"/>
              </a:solidFill>
              <a:effectLst/>
              <a:latin typeface="Arial" panose="020B0604020202020204" pitchFamily="34" charset="0"/>
              <a:ea typeface="+mn-ea"/>
              <a:cs typeface="Arial" panose="020B0604020202020204" pitchFamily="34" charset="0"/>
            </a:rPr>
            <a:t>AANDACHT</a:t>
          </a:r>
          <a:br>
            <a:rPr lang="nl-NL" sz="1000" b="0" i="0">
              <a:solidFill>
                <a:schemeClr val="dk1"/>
              </a:solidFill>
              <a:effectLst/>
              <a:latin typeface="Arial" panose="020B0604020202020204" pitchFamily="34" charset="0"/>
              <a:ea typeface="+mn-ea"/>
              <a:cs typeface="Arial" panose="020B0604020202020204" pitchFamily="34" charset="0"/>
            </a:rPr>
          </a:br>
          <a:r>
            <a:rPr lang="nl-NL" sz="1000" b="0" i="0">
              <a:solidFill>
                <a:schemeClr val="dk1"/>
              </a:solidFill>
              <a:effectLst/>
              <a:latin typeface="Arial" panose="020B0604020202020204" pitchFamily="34" charset="0"/>
              <a:ea typeface="+mn-ea"/>
              <a:cs typeface="Arial" panose="020B0604020202020204" pitchFamily="34" charset="0"/>
            </a:rPr>
            <a:t>Score van </a:t>
          </a:r>
          <a:r>
            <a:rPr lang="nl-NL" sz="1000" b="1" i="0">
              <a:solidFill>
                <a:schemeClr val="dk1"/>
              </a:solidFill>
              <a:effectLst/>
              <a:latin typeface="Arial" panose="020B0604020202020204" pitchFamily="34" charset="0"/>
              <a:ea typeface="+mn-ea"/>
              <a:cs typeface="Arial" panose="020B0604020202020204" pitchFamily="34" charset="0"/>
            </a:rPr>
            <a:t>50 tot en met 69</a:t>
          </a:r>
          <a:r>
            <a:rPr lang="nl-NL" sz="1000" b="0" i="0">
              <a:solidFill>
                <a:schemeClr val="dk1"/>
              </a:solidFill>
              <a:effectLst/>
              <a:latin typeface="Arial" panose="020B0604020202020204" pitchFamily="34" charset="0"/>
              <a:ea typeface="+mn-ea"/>
              <a:cs typeface="Arial" panose="020B0604020202020204" pitchFamily="34" charset="0"/>
            </a:rPr>
            <a:t>. De locatie heeft potentie voor woonzorgontwikkeling, maar vraagt nader onderzoek naar één of meerdere beoordelingsaspecten.</a:t>
          </a:r>
        </a:p>
        <a:p>
          <a:endParaRPr lang="nl-NL" sz="1000" b="0" i="0">
            <a:solidFill>
              <a:schemeClr val="dk1"/>
            </a:solidFill>
            <a:effectLst/>
            <a:latin typeface="Arial" panose="020B0604020202020204" pitchFamily="34" charset="0"/>
            <a:ea typeface="+mn-ea"/>
            <a:cs typeface="Arial" panose="020B0604020202020204" pitchFamily="34" charset="0"/>
          </a:endParaRPr>
        </a:p>
        <a:p>
          <a:r>
            <a:rPr lang="nl-NL" sz="1000" b="1" i="0">
              <a:solidFill>
                <a:schemeClr val="dk1"/>
              </a:solidFill>
              <a:effectLst/>
              <a:latin typeface="Arial" panose="020B0604020202020204" pitchFamily="34" charset="0"/>
              <a:ea typeface="+mn-ea"/>
              <a:cs typeface="Arial" panose="020B0604020202020204" pitchFamily="34" charset="0"/>
            </a:rPr>
            <a:t>NO-GO</a:t>
          </a:r>
          <a:br>
            <a:rPr lang="nl-NL" sz="1000" b="0" i="0">
              <a:solidFill>
                <a:schemeClr val="dk1"/>
              </a:solidFill>
              <a:effectLst/>
              <a:latin typeface="Arial" panose="020B0604020202020204" pitchFamily="34" charset="0"/>
              <a:ea typeface="+mn-ea"/>
              <a:cs typeface="Arial" panose="020B0604020202020204" pitchFamily="34" charset="0"/>
            </a:rPr>
          </a:br>
          <a:r>
            <a:rPr lang="nl-NL" sz="1000" b="0" i="0">
              <a:solidFill>
                <a:schemeClr val="dk1"/>
              </a:solidFill>
              <a:effectLst/>
              <a:latin typeface="Arial" panose="020B0604020202020204" pitchFamily="34" charset="0"/>
              <a:ea typeface="+mn-ea"/>
              <a:cs typeface="Arial" panose="020B0604020202020204" pitchFamily="34" charset="0"/>
            </a:rPr>
            <a:t>Score van </a:t>
          </a:r>
          <a:r>
            <a:rPr lang="nl-NL" sz="1000" b="1" i="0">
              <a:solidFill>
                <a:schemeClr val="dk1"/>
              </a:solidFill>
              <a:effectLst/>
              <a:latin typeface="Arial" panose="020B0604020202020204" pitchFamily="34" charset="0"/>
              <a:ea typeface="+mn-ea"/>
              <a:cs typeface="Arial" panose="020B0604020202020204" pitchFamily="34" charset="0"/>
            </a:rPr>
            <a:t>lager dan 50</a:t>
          </a:r>
          <a:r>
            <a:rPr lang="nl-NL" sz="1000" b="0" i="0">
              <a:solidFill>
                <a:schemeClr val="dk1"/>
              </a:solidFill>
              <a:effectLst/>
              <a:latin typeface="Arial" panose="020B0604020202020204" pitchFamily="34" charset="0"/>
              <a:ea typeface="+mn-ea"/>
              <a:cs typeface="Arial" panose="020B0604020202020204" pitchFamily="34" charset="0"/>
            </a:rPr>
            <a:t>. De locatie voldoet onvoldoende aan de beoordelingsindicatoren en lijkt op basis van de huidige beoordeling niet geschikt voor verdere ontwikkeling als woonzorgconcept.</a:t>
          </a:r>
        </a:p>
        <a:p>
          <a:endParaRPr lang="nl-NL" sz="1000" b="0" i="0">
            <a:solidFill>
              <a:schemeClr val="dk1"/>
            </a:solidFill>
            <a:effectLst/>
            <a:latin typeface="Arial" panose="020B0604020202020204" pitchFamily="34" charset="0"/>
            <a:ea typeface="+mn-ea"/>
            <a:cs typeface="Arial" panose="020B0604020202020204" pitchFamily="34" charset="0"/>
          </a:endParaRPr>
        </a:p>
        <a:p>
          <a:r>
            <a:rPr lang="nl-NL" sz="1000" b="1" i="0">
              <a:solidFill>
                <a:schemeClr val="dk1"/>
              </a:solidFill>
              <a:effectLst/>
              <a:latin typeface="Arial" panose="020B0604020202020204" pitchFamily="34" charset="0"/>
              <a:ea typeface="+mn-ea"/>
              <a:cs typeface="Arial" panose="020B0604020202020204" pitchFamily="34" charset="0"/>
            </a:rPr>
            <a:t>Belangrijk:</a:t>
          </a:r>
          <a:r>
            <a:rPr lang="nl-NL" sz="1000" b="0" i="0">
              <a:solidFill>
                <a:schemeClr val="dk1"/>
              </a:solidFill>
              <a:effectLst/>
              <a:latin typeface="Arial" panose="020B0604020202020204" pitchFamily="34" charset="0"/>
              <a:ea typeface="+mn-ea"/>
              <a:cs typeface="Arial" panose="020B0604020202020204" pitchFamily="34" charset="0"/>
            </a:rPr>
            <a:t> De totaalscore dient als ondersteuning van de besluitvorming. De uiteindelijke afweging tussen transformatie en sloop/nieuwbouw blijft afhankelijk van projectspecifieke omstandigheden en professioneel oordeel.</a:t>
          </a:r>
        </a:p>
        <a:p>
          <a:endParaRPr lang="nl-NL" sz="1000" b="0" i="0">
            <a:solidFill>
              <a:schemeClr val="dk1"/>
            </a:solidFill>
            <a:effectLst/>
            <a:latin typeface="Arial" panose="020B0604020202020204" pitchFamily="34" charset="0"/>
            <a:ea typeface="+mn-ea"/>
            <a:cs typeface="Arial" panose="020B0604020202020204" pitchFamily="34" charset="0"/>
          </a:endParaRPr>
        </a:p>
        <a:p>
          <a:r>
            <a:rPr lang="nl-NL" sz="1000" b="0" i="0" u="none" strike="noStrike">
              <a:solidFill>
                <a:schemeClr val="dk1"/>
              </a:solidFill>
              <a:effectLst/>
              <a:latin typeface="Arial" panose="020B0604020202020204" pitchFamily="34" charset="0"/>
              <a:ea typeface="+mn-ea"/>
              <a:cs typeface="Arial" panose="020B0604020202020204" pitchFamily="34" charset="0"/>
            </a:rPr>
            <a:t>Het Beoordelingsformulier toont de ruwe gewogen scores. Het Dashboard rekent deze automatisch om naar een totaalscore op schaal van 100, op basis waarvan het GO/AANDACHT/NO-GO advies wordt bepaald.</a:t>
          </a:r>
          <a:endParaRPr lang="nl-NL" sz="1000" b="0" i="0">
            <a:solidFill>
              <a:schemeClr val="dk1"/>
            </a:solidFill>
            <a:effectLst/>
            <a:latin typeface="Arial" panose="020B0604020202020204" pitchFamily="34" charset="0"/>
            <a:ea typeface="+mn-ea"/>
            <a:cs typeface="Arial" panose="020B0604020202020204" pitchFamily="34" charset="0"/>
          </a:endParaRPr>
        </a:p>
        <a:p>
          <a:endParaRPr lang="nl-NL" sz="1100"/>
        </a:p>
      </xdr:txBody>
    </xdr:sp>
    <xdr:clientData/>
  </xdr:twoCellAnchor>
  <xdr:twoCellAnchor>
    <xdr:from>
      <xdr:col>1</xdr:col>
      <xdr:colOff>6589</xdr:colOff>
      <xdr:row>69</xdr:row>
      <xdr:rowOff>187819</xdr:rowOff>
    </xdr:from>
    <xdr:to>
      <xdr:col>4</xdr:col>
      <xdr:colOff>5247</xdr:colOff>
      <xdr:row>73</xdr:row>
      <xdr:rowOff>198482</xdr:rowOff>
    </xdr:to>
    <xdr:sp macro="" textlink="">
      <xdr:nvSpPr>
        <xdr:cNvPr id="8" name="Tekstvak 7">
          <a:extLst>
            <a:ext uri="{FF2B5EF4-FFF2-40B4-BE49-F238E27FC236}">
              <a16:creationId xmlns:a16="http://schemas.microsoft.com/office/drawing/2014/main" id="{27330243-412C-1CA0-224D-5C2C7A541F78}"/>
            </a:ext>
          </a:extLst>
        </xdr:cNvPr>
        <xdr:cNvSpPr txBox="1"/>
      </xdr:nvSpPr>
      <xdr:spPr>
        <a:xfrm>
          <a:off x="298543" y="14362187"/>
          <a:ext cx="6407049" cy="828134"/>
        </a:xfrm>
        <a:prstGeom prst="rect">
          <a:avLst/>
        </a:prstGeom>
        <a:solidFill>
          <a:srgbClr val="E8772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000" b="0" i="0" u="none" strike="noStrike">
              <a:solidFill>
                <a:schemeClr val="bg1"/>
              </a:solidFill>
              <a:effectLst/>
              <a:latin typeface="Arial" panose="020B0604020202020204" pitchFamily="34" charset="0"/>
              <a:ea typeface="+mn-ea"/>
              <a:cs typeface="Arial" panose="020B0604020202020204" pitchFamily="34" charset="0"/>
            </a:rPr>
            <a:t>De SamenLeefMeter is ontwikkeld door H.B. (Beau) van Dalfzen in het kader van het afstudeeronderzoek </a:t>
          </a:r>
          <a:r>
            <a:rPr lang="nl-NL" sz="1000" b="0" i="1">
              <a:solidFill>
                <a:schemeClr val="bg1"/>
              </a:solidFill>
              <a:effectLst/>
              <a:latin typeface="Arial" panose="020B0604020202020204" pitchFamily="34" charset="0"/>
              <a:ea typeface="+mn-ea"/>
              <a:cs typeface="Arial" panose="020B0604020202020204" pitchFamily="34" charset="0"/>
            </a:rPr>
            <a:t>Sloop of transformatie? De beoordeling van verouderd maatschappelijk vastgoed in Flevoland voor de ontwikkeling van woonzorgconcepten</a:t>
          </a:r>
          <a:r>
            <a:rPr lang="nl-NL" sz="1000" b="0" i="0" u="none" strike="noStrike">
              <a:solidFill>
                <a:schemeClr val="bg1"/>
              </a:solidFill>
              <a:effectLst/>
              <a:latin typeface="Arial" panose="020B0604020202020204" pitchFamily="34" charset="0"/>
              <a:ea typeface="+mn-ea"/>
              <a:cs typeface="Arial" panose="020B0604020202020204" pitchFamily="34" charset="0"/>
            </a:rPr>
            <a:t>, uitgevoerd binnen de opleiding Vastgoedkunde aan de Hanze in Groningen en in opdracht van HevoFame (2026).</a:t>
          </a:r>
          <a:endParaRPr lang="nl-NL" sz="1000" i="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6</xdr:col>
      <xdr:colOff>128037</xdr:colOff>
      <xdr:row>1</xdr:row>
      <xdr:rowOff>45903</xdr:rowOff>
    </xdr:from>
    <xdr:to>
      <xdr:col>6</xdr:col>
      <xdr:colOff>755810</xdr:colOff>
      <xdr:row>1</xdr:row>
      <xdr:rowOff>339400</xdr:rowOff>
    </xdr:to>
    <xdr:pic>
      <xdr:nvPicPr>
        <xdr:cNvPr id="7" name="Afbeelding 6">
          <a:extLst>
            <a:ext uri="{FF2B5EF4-FFF2-40B4-BE49-F238E27FC236}">
              <a16:creationId xmlns:a16="http://schemas.microsoft.com/office/drawing/2014/main" id="{CC371EBB-CCA8-A640-AE4A-735FA2593EA9}"/>
            </a:ext>
          </a:extLst>
        </xdr:cNvPr>
        <xdr:cNvPicPr>
          <a:picLocks noChangeAspect="1"/>
        </xdr:cNvPicPr>
      </xdr:nvPicPr>
      <xdr:blipFill>
        <a:blip xmlns:r="http://schemas.openxmlformats.org/officeDocument/2006/relationships" r:embed="rId1"/>
        <a:stretch>
          <a:fillRect/>
        </a:stretch>
      </xdr:blipFill>
      <xdr:spPr>
        <a:xfrm>
          <a:off x="8492520" y="250271"/>
          <a:ext cx="627773" cy="293497"/>
        </a:xfrm>
        <a:prstGeom prst="rect">
          <a:avLst/>
        </a:prstGeom>
      </xdr:spPr>
    </xdr:pic>
    <xdr:clientData/>
  </xdr:twoCellAnchor>
  <xdr:twoCellAnchor>
    <xdr:from>
      <xdr:col>1</xdr:col>
      <xdr:colOff>15301</xdr:colOff>
      <xdr:row>51</xdr:row>
      <xdr:rowOff>16933</xdr:rowOff>
    </xdr:from>
    <xdr:to>
      <xdr:col>7</xdr:col>
      <xdr:colOff>0</xdr:colOff>
      <xdr:row>60</xdr:row>
      <xdr:rowOff>99967</xdr:rowOff>
    </xdr:to>
    <xdr:sp macro="" textlink="">
      <xdr:nvSpPr>
        <xdr:cNvPr id="9" name="Tekstvak 8">
          <a:extLst>
            <a:ext uri="{FF2B5EF4-FFF2-40B4-BE49-F238E27FC236}">
              <a16:creationId xmlns:a16="http://schemas.microsoft.com/office/drawing/2014/main" id="{BF303B03-D890-1BB7-1F9C-EBE45C830233}"/>
            </a:ext>
          </a:extLst>
        </xdr:cNvPr>
        <xdr:cNvSpPr txBox="1"/>
      </xdr:nvSpPr>
      <xdr:spPr>
        <a:xfrm>
          <a:off x="303168" y="10464800"/>
          <a:ext cx="12092032" cy="1911834"/>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000" b="0" i="0">
              <a:solidFill>
                <a:schemeClr val="dk1"/>
              </a:solidFill>
              <a:effectLst/>
              <a:latin typeface="Arial" panose="020B0604020202020204" pitchFamily="34" charset="0"/>
              <a:ea typeface="+mn-ea"/>
              <a:cs typeface="Arial" panose="020B0604020202020204" pitchFamily="34" charset="0"/>
            </a:rPr>
            <a:t>De SamenLeefMeter maakt de afweging tussen transformatie en sloop/nieuwbouw inzichtelijk, maar neemt hem niet over.</a:t>
          </a:r>
        </a:p>
        <a:p>
          <a:endParaRPr lang="nl-NL" sz="1000" b="0" i="0">
            <a:solidFill>
              <a:schemeClr val="dk1"/>
            </a:solidFill>
            <a:effectLst/>
            <a:latin typeface="Arial" panose="020B0604020202020204" pitchFamily="34" charset="0"/>
            <a:ea typeface="+mn-ea"/>
            <a:cs typeface="Arial" panose="020B0604020202020204" pitchFamily="34" charset="0"/>
          </a:endParaRPr>
        </a:p>
        <a:p>
          <a:r>
            <a:rPr lang="nl-NL" sz="1000" b="0" i="0">
              <a:solidFill>
                <a:schemeClr val="dk1"/>
              </a:solidFill>
              <a:effectLst/>
              <a:latin typeface="Arial" panose="020B0604020202020204" pitchFamily="34" charset="0"/>
              <a:ea typeface="+mn-ea"/>
              <a:cs typeface="Arial" panose="020B0604020202020204" pitchFamily="34" charset="0"/>
            </a:rPr>
            <a:t>De totaalscore bepaalt eerst of een locatie überhaupt geschikt is voor verdere ontwikkeling. Bij een NO-GO stopt het proces hier. Bij een GO of AANDACHT is verdere verkenning zinvol.</a:t>
          </a:r>
        </a:p>
        <a:p>
          <a:endParaRPr lang="nl-NL" sz="1000" b="0" i="0">
            <a:solidFill>
              <a:schemeClr val="dk1"/>
            </a:solidFill>
            <a:effectLst/>
            <a:latin typeface="Arial" panose="020B0604020202020204" pitchFamily="34" charset="0"/>
            <a:ea typeface="+mn-ea"/>
            <a:cs typeface="Arial" panose="020B0604020202020204" pitchFamily="34" charset="0"/>
          </a:endParaRPr>
        </a:p>
        <a:p>
          <a:r>
            <a:rPr lang="nl-NL" sz="1000" b="0" i="0">
              <a:solidFill>
                <a:schemeClr val="dk1"/>
              </a:solidFill>
              <a:effectLst/>
              <a:latin typeface="Arial" panose="020B0604020202020204" pitchFamily="34" charset="0"/>
              <a:ea typeface="+mn-ea"/>
              <a:cs typeface="Arial" panose="020B0604020202020204" pitchFamily="34" charset="0"/>
            </a:rPr>
            <a:t>De scores per categorie geven daarna richting. Een lage score op Gebouwtechnische geschiktheid, met name op Constructie &amp; stramienmaat, wijst richting sloop/nieuwbouw. Een sterke gebouwscore in combinatie met beperkte financiële ruimte kan richting transformatie wijzen. De score op Organisatiekenmerken herinnert eraan dat de strategische horizon van de betrokken partij de doorslag kan geven.</a:t>
          </a:r>
        </a:p>
        <a:p>
          <a:endParaRPr lang="nl-NL" sz="1000" b="0" i="0">
            <a:solidFill>
              <a:schemeClr val="dk1"/>
            </a:solidFill>
            <a:effectLst/>
            <a:latin typeface="Arial" panose="020B0604020202020204" pitchFamily="34" charset="0"/>
            <a:ea typeface="+mn-ea"/>
            <a:cs typeface="Arial" panose="020B0604020202020204" pitchFamily="34" charset="0"/>
          </a:endParaRPr>
        </a:p>
        <a:p>
          <a:r>
            <a:rPr lang="nl-NL" sz="1000" b="0" i="0">
              <a:solidFill>
                <a:schemeClr val="dk1"/>
              </a:solidFill>
              <a:effectLst/>
              <a:latin typeface="Arial" panose="020B0604020202020204" pitchFamily="34" charset="0"/>
              <a:ea typeface="+mn-ea"/>
              <a:cs typeface="Arial" panose="020B0604020202020204" pitchFamily="34" charset="0"/>
            </a:rPr>
            <a:t>De uiteindelijke keuze blijft mensenwerk.</a:t>
          </a:r>
        </a:p>
        <a:p>
          <a:endParaRPr lang="nl-NL" sz="1100"/>
        </a:p>
      </xdr:txBody>
    </xdr:sp>
    <xdr:clientData/>
  </xdr:twoCellAnchor>
  <xdr:twoCellAnchor>
    <xdr:from>
      <xdr:col>1</xdr:col>
      <xdr:colOff>14597</xdr:colOff>
      <xdr:row>61</xdr:row>
      <xdr:rowOff>204367</xdr:rowOff>
    </xdr:from>
    <xdr:to>
      <xdr:col>6</xdr:col>
      <xdr:colOff>4057457</xdr:colOff>
      <xdr:row>64</xdr:row>
      <xdr:rowOff>0</xdr:rowOff>
    </xdr:to>
    <xdr:sp macro="" textlink="">
      <xdr:nvSpPr>
        <xdr:cNvPr id="10" name="Tekstvak 9">
          <a:extLst>
            <a:ext uri="{FF2B5EF4-FFF2-40B4-BE49-F238E27FC236}">
              <a16:creationId xmlns:a16="http://schemas.microsoft.com/office/drawing/2014/main" id="{99E4ADD8-EC55-8E43-A610-33DAFDD0A5AC}"/>
            </a:ext>
          </a:extLst>
        </xdr:cNvPr>
        <xdr:cNvSpPr txBox="1"/>
      </xdr:nvSpPr>
      <xdr:spPr>
        <a:xfrm>
          <a:off x="306551" y="12743792"/>
          <a:ext cx="12115389" cy="408737"/>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000" b="0" i="0">
              <a:solidFill>
                <a:schemeClr val="dk1"/>
              </a:solidFill>
              <a:effectLst/>
              <a:latin typeface="Arial" panose="020B0604020202020204" pitchFamily="34" charset="0"/>
              <a:ea typeface="+mn-ea"/>
              <a:cs typeface="Arial" panose="020B0604020202020204" pitchFamily="34" charset="0"/>
            </a:rPr>
            <a:t>Let op: de SamenLeefMeter is een additief instrument waarbij scores elkaar kunnen compenseren. De constructie &amp; stramienmaat vormt echter een vetovereiste: wanneer de hoofddraagconstructie niet intact kan blijven, is transformatie technisch en financieel vrijwel altijd onhaalbaar, ongeacht de totaalscore (Sonneborgh; HevoFame; Centrada)</a:t>
          </a:r>
          <a:endParaRPr lang="nl-NL" sz="1000" i="0">
            <a:latin typeface="Arial" panose="020B0604020202020204" pitchFamily="34" charset="0"/>
            <a:cs typeface="Arial" panose="020B0604020202020204" pitchFamily="34" charset="0"/>
          </a:endParaRPr>
        </a:p>
      </xdr:txBody>
    </xdr:sp>
    <xdr:clientData/>
  </xdr:twoCellAnchor>
  <xdr:twoCellAnchor>
    <xdr:from>
      <xdr:col>1</xdr:col>
      <xdr:colOff>0</xdr:colOff>
      <xdr:row>66</xdr:row>
      <xdr:rowOff>0</xdr:rowOff>
    </xdr:from>
    <xdr:to>
      <xdr:col>6</xdr:col>
      <xdr:colOff>4042860</xdr:colOff>
      <xdr:row>68</xdr:row>
      <xdr:rowOff>1</xdr:rowOff>
    </xdr:to>
    <xdr:sp macro="" textlink="">
      <xdr:nvSpPr>
        <xdr:cNvPr id="11" name="Tekstvak 10">
          <a:extLst>
            <a:ext uri="{FF2B5EF4-FFF2-40B4-BE49-F238E27FC236}">
              <a16:creationId xmlns:a16="http://schemas.microsoft.com/office/drawing/2014/main" id="{3C2E15E8-A04D-D443-90D8-0A4180FDA455}"/>
            </a:ext>
          </a:extLst>
        </xdr:cNvPr>
        <xdr:cNvSpPr txBox="1"/>
      </xdr:nvSpPr>
      <xdr:spPr>
        <a:xfrm>
          <a:off x="291954" y="13561264"/>
          <a:ext cx="12115389" cy="408737"/>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000" b="0" i="0" u="none" strike="noStrike">
              <a:solidFill>
                <a:schemeClr val="dk1"/>
              </a:solidFill>
              <a:effectLst/>
              <a:latin typeface="Arial" panose="020B0604020202020204" pitchFamily="34" charset="0"/>
              <a:ea typeface="+mn-ea"/>
              <a:cs typeface="Arial" panose="020B0604020202020204" pitchFamily="34" charset="0"/>
            </a:rPr>
            <a:t>Bij een aantal indicatoren zijn aanvullende celnotities opgenomen in het tabblad Beoordeling. Deze zijn zichtbaar via het rode driehoekje rechtsboven in de betreffende cel en bevatten onderbouwde aandachtspunten uit het onderzoek.</a:t>
          </a:r>
          <a:endParaRPr lang="nl-NL" sz="1000">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343229</xdr:colOff>
      <xdr:row>1</xdr:row>
      <xdr:rowOff>38100</xdr:rowOff>
    </xdr:from>
    <xdr:to>
      <xdr:col>4</xdr:col>
      <xdr:colOff>965199</xdr:colOff>
      <xdr:row>1</xdr:row>
      <xdr:rowOff>331597</xdr:rowOff>
    </xdr:to>
    <xdr:pic>
      <xdr:nvPicPr>
        <xdr:cNvPr id="2" name="Afbeelding 1">
          <a:extLst>
            <a:ext uri="{FF2B5EF4-FFF2-40B4-BE49-F238E27FC236}">
              <a16:creationId xmlns:a16="http://schemas.microsoft.com/office/drawing/2014/main" id="{629B08C5-F8C8-FECC-E7A2-4E6BC75D856C}"/>
            </a:ext>
          </a:extLst>
        </xdr:cNvPr>
        <xdr:cNvPicPr>
          <a:picLocks noChangeAspect="1"/>
        </xdr:cNvPicPr>
      </xdr:nvPicPr>
      <xdr:blipFill>
        <a:blip xmlns:r="http://schemas.openxmlformats.org/officeDocument/2006/relationships" r:embed="rId1"/>
        <a:stretch>
          <a:fillRect/>
        </a:stretch>
      </xdr:blipFill>
      <xdr:spPr>
        <a:xfrm>
          <a:off x="6540829" y="241300"/>
          <a:ext cx="621970" cy="293497"/>
        </a:xfrm>
        <a:prstGeom prst="rect">
          <a:avLst/>
        </a:prstGeom>
      </xdr:spPr>
    </xdr:pic>
    <xdr:clientData/>
  </xdr:twoCellAnchor>
</xdr:wsDr>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0A4B1-A1AC-8947-8A18-B7F43EC43AD6}">
  <dimension ref="A1:J66"/>
  <sheetViews>
    <sheetView topLeftCell="A29" zoomScale="64" zoomScaleNormal="70" workbookViewId="0">
      <selection activeCell="I49" sqref="I49"/>
    </sheetView>
  </sheetViews>
  <sheetFormatPr baseColWidth="10" defaultRowHeight="16" x14ac:dyDescent="0.2"/>
  <cols>
    <col min="1" max="1" width="3.83203125" customWidth="1"/>
    <col min="2" max="2" width="64.33203125" customWidth="1"/>
    <col min="7" max="7" width="53.1640625" customWidth="1"/>
  </cols>
  <sheetData>
    <row r="1" spans="1:10" x14ac:dyDescent="0.2">
      <c r="A1" s="58"/>
      <c r="B1" s="58"/>
      <c r="C1" s="58"/>
      <c r="D1" s="58"/>
      <c r="E1" s="58"/>
      <c r="F1" s="58"/>
      <c r="G1" s="58"/>
    </row>
    <row r="2" spans="1:10" ht="30" x14ac:dyDescent="0.2">
      <c r="A2" s="59" t="s">
        <v>46</v>
      </c>
      <c r="B2" s="59"/>
      <c r="C2" s="59"/>
      <c r="D2" s="59"/>
      <c r="E2" s="59"/>
      <c r="F2" s="59"/>
      <c r="G2" s="59"/>
    </row>
    <row r="3" spans="1:10" x14ac:dyDescent="0.2">
      <c r="A3" s="60" t="s">
        <v>47</v>
      </c>
      <c r="B3" s="60"/>
      <c r="C3" s="60"/>
      <c r="D3" s="60"/>
      <c r="E3" s="60"/>
      <c r="F3" s="60"/>
      <c r="G3" s="60"/>
    </row>
    <row r="4" spans="1:10" ht="8" customHeight="1" x14ac:dyDescent="0.2">
      <c r="A4" s="58"/>
      <c r="B4" s="58"/>
      <c r="C4" s="58"/>
      <c r="D4" s="58"/>
      <c r="E4" s="58"/>
      <c r="F4" s="58"/>
      <c r="G4" s="58"/>
    </row>
    <row r="5" spans="1:10" x14ac:dyDescent="0.2">
      <c r="A5" s="14"/>
      <c r="B5" s="13" t="s">
        <v>95</v>
      </c>
    </row>
    <row r="6" spans="1:10" x14ac:dyDescent="0.2">
      <c r="B6" s="44"/>
      <c r="C6" s="44"/>
      <c r="D6" s="44"/>
      <c r="E6" s="44"/>
      <c r="F6" s="44"/>
      <c r="G6" s="44"/>
    </row>
    <row r="7" spans="1:10" x14ac:dyDescent="0.2">
      <c r="B7" s="44"/>
      <c r="C7" s="44"/>
      <c r="D7" s="44"/>
      <c r="E7" s="44"/>
      <c r="F7" s="44"/>
      <c r="G7" s="44"/>
    </row>
    <row r="8" spans="1:10" x14ac:dyDescent="0.2">
      <c r="B8" s="44"/>
      <c r="C8" s="44"/>
      <c r="D8" s="44"/>
      <c r="E8" s="44"/>
      <c r="F8" s="44"/>
      <c r="G8" s="44"/>
    </row>
    <row r="9" spans="1:10" x14ac:dyDescent="0.2">
      <c r="B9" s="44"/>
      <c r="C9" s="44"/>
      <c r="D9" s="44"/>
      <c r="E9" s="44"/>
      <c r="F9" s="44"/>
      <c r="G9" s="44"/>
    </row>
    <row r="10" spans="1:10" x14ac:dyDescent="0.2">
      <c r="B10" s="44"/>
      <c r="C10" s="44"/>
      <c r="D10" s="44"/>
      <c r="E10" s="44"/>
      <c r="F10" s="44"/>
      <c r="G10" s="44"/>
    </row>
    <row r="11" spans="1:10" x14ac:dyDescent="0.2">
      <c r="B11" s="44"/>
      <c r="C11" s="44"/>
      <c r="D11" s="44"/>
      <c r="E11" s="44"/>
      <c r="F11" s="44"/>
      <c r="G11" s="44"/>
    </row>
    <row r="12" spans="1:10" x14ac:dyDescent="0.2">
      <c r="B12" s="44"/>
      <c r="C12" s="44"/>
      <c r="D12" s="44"/>
      <c r="E12" s="44"/>
      <c r="F12" s="44"/>
      <c r="G12" s="44"/>
    </row>
    <row r="13" spans="1:10" x14ac:dyDescent="0.2">
      <c r="B13" s="44"/>
      <c r="C13" s="44"/>
      <c r="D13" s="44"/>
      <c r="E13" s="44"/>
      <c r="F13" s="44"/>
      <c r="G13" s="44"/>
    </row>
    <row r="15" spans="1:10" x14ac:dyDescent="0.2">
      <c r="B15" s="13" t="s">
        <v>96</v>
      </c>
      <c r="J15" t="s">
        <v>103</v>
      </c>
    </row>
    <row r="30" spans="2:2" x14ac:dyDescent="0.2">
      <c r="B30" s="13" t="s">
        <v>72</v>
      </c>
    </row>
    <row r="39" spans="2:2" x14ac:dyDescent="0.2">
      <c r="B39" s="13" t="s">
        <v>73</v>
      </c>
    </row>
    <row r="51" spans="2:2" x14ac:dyDescent="0.2">
      <c r="B51" s="13" t="s">
        <v>97</v>
      </c>
    </row>
    <row r="62" spans="2:2" x14ac:dyDescent="0.2">
      <c r="B62" s="13" t="s">
        <v>101</v>
      </c>
    </row>
    <row r="66" spans="2:2" x14ac:dyDescent="0.2">
      <c r="B66" s="13" t="s">
        <v>102</v>
      </c>
    </row>
  </sheetData>
  <mergeCells count="4">
    <mergeCell ref="A1:G1"/>
    <mergeCell ref="A2:G2"/>
    <mergeCell ref="A3:G3"/>
    <mergeCell ref="A4:G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F05B4-4254-F54A-B54D-39F150B8083A}">
  <dimension ref="A1:Q25"/>
  <sheetViews>
    <sheetView topLeftCell="A2" zoomScale="106" zoomScaleNormal="125" workbookViewId="0">
      <selection activeCell="B11" sqref="B11"/>
    </sheetView>
  </sheetViews>
  <sheetFormatPr baseColWidth="10" defaultRowHeight="16" x14ac:dyDescent="0.2"/>
  <cols>
    <col min="1" max="1" width="27.5" customWidth="1"/>
    <col min="2" max="2" width="26.6640625" customWidth="1"/>
    <col min="3" max="3" width="13.5" customWidth="1"/>
    <col min="4" max="4" width="13.6640625" customWidth="1"/>
    <col min="5" max="5" width="24.6640625" customWidth="1"/>
    <col min="7" max="7" width="21.6640625" customWidth="1"/>
  </cols>
  <sheetData>
    <row r="1" spans="1:7" x14ac:dyDescent="0.2">
      <c r="A1" s="58"/>
      <c r="B1" s="58"/>
      <c r="C1" s="58"/>
      <c r="D1" s="58"/>
      <c r="E1" s="58"/>
      <c r="F1" s="58"/>
      <c r="G1" s="58"/>
    </row>
    <row r="2" spans="1:7" ht="30" x14ac:dyDescent="0.2">
      <c r="A2" s="59" t="s">
        <v>66</v>
      </c>
      <c r="B2" s="59"/>
      <c r="C2" s="59"/>
      <c r="D2" s="59"/>
      <c r="E2" s="59"/>
      <c r="F2" s="59"/>
      <c r="G2" s="59"/>
    </row>
    <row r="3" spans="1:7" x14ac:dyDescent="0.2">
      <c r="A3" s="60" t="s">
        <v>0</v>
      </c>
      <c r="B3" s="60"/>
      <c r="C3" s="60"/>
      <c r="D3" s="60"/>
      <c r="E3" s="60"/>
      <c r="F3" s="60"/>
      <c r="G3" s="60"/>
    </row>
    <row r="4" spans="1:7" x14ac:dyDescent="0.2">
      <c r="A4" s="58"/>
      <c r="B4" s="58"/>
      <c r="C4" s="58"/>
      <c r="D4" s="58"/>
      <c r="E4" s="58"/>
      <c r="F4" s="58"/>
      <c r="G4" s="58"/>
    </row>
    <row r="5" spans="1:7" x14ac:dyDescent="0.2">
      <c r="A5" s="62" t="s">
        <v>1</v>
      </c>
      <c r="B5" s="62"/>
      <c r="C5" s="62"/>
      <c r="D5" s="62"/>
      <c r="E5" s="62"/>
      <c r="F5" s="2"/>
      <c r="G5" s="2"/>
    </row>
    <row r="6" spans="1:7" x14ac:dyDescent="0.2">
      <c r="A6" t="s">
        <v>2</v>
      </c>
    </row>
    <row r="7" spans="1:7" x14ac:dyDescent="0.2">
      <c r="A7" t="s">
        <v>3</v>
      </c>
    </row>
    <row r="8" spans="1:7" x14ac:dyDescent="0.2">
      <c r="A8" t="s">
        <v>4</v>
      </c>
      <c r="B8" s="3" t="str">
        <f ca="1">TEXT(TODAY(),"DD-MM-JJJJ")</f>
        <v>10-06-2026</v>
      </c>
    </row>
    <row r="9" spans="1:7" x14ac:dyDescent="0.2">
      <c r="A9" s="62" t="s">
        <v>65</v>
      </c>
      <c r="B9" s="62"/>
      <c r="C9" s="62"/>
      <c r="D9" s="62"/>
      <c r="E9" s="62"/>
      <c r="F9" s="2"/>
      <c r="G9" s="2"/>
    </row>
    <row r="10" spans="1:7" x14ac:dyDescent="0.2">
      <c r="A10" t="s">
        <v>5</v>
      </c>
      <c r="B10" s="23">
        <f>Beoordeling!C37/Beoordeling!D37*100</f>
        <v>0</v>
      </c>
    </row>
    <row r="11" spans="1:7" x14ac:dyDescent="0.2">
      <c r="A11" t="s">
        <v>6</v>
      </c>
      <c r="B11" t="str">
        <f>IF(B10&gt;=70,"GO — Locatie geschikt voor verdere verkenning",IF(B10&gt;=50,"AANDACHT — Locatie heeft potentie maar vraagt nader onderzoek","NO-GO — Locatie voldoet niet aan de minimale eisen"))</f>
        <v>NO-GO — Locatie voldoet niet aan de minimale eisen</v>
      </c>
    </row>
    <row r="12" spans="1:7" x14ac:dyDescent="0.2">
      <c r="A12" s="62" t="s">
        <v>7</v>
      </c>
      <c r="B12" s="62"/>
      <c r="C12" s="62"/>
      <c r="D12" s="62"/>
      <c r="E12" s="62"/>
      <c r="F12" s="2"/>
      <c r="G12" s="2"/>
    </row>
    <row r="13" spans="1:7" x14ac:dyDescent="0.2">
      <c r="A13" s="21" t="s">
        <v>63</v>
      </c>
      <c r="B13" s="21" t="s">
        <v>34</v>
      </c>
      <c r="C13" s="21" t="s">
        <v>35</v>
      </c>
      <c r="D13" s="21" t="s">
        <v>36</v>
      </c>
      <c r="E13" s="21" t="s">
        <v>64</v>
      </c>
      <c r="F13" s="22"/>
    </row>
    <row r="14" spans="1:7" ht="17" x14ac:dyDescent="0.25">
      <c r="A14" t="s">
        <v>8</v>
      </c>
      <c r="B14" s="26">
        <f>Beoordeling!C31</f>
        <v>0</v>
      </c>
      <c r="C14" s="28">
        <f>Beoordeling!D31</f>
        <v>50</v>
      </c>
      <c r="D14" s="29">
        <f t="shared" ref="D14:D19" si="0">IF(C14=0,0,B14/C14)</f>
        <v>0</v>
      </c>
      <c r="E14" s="28" t="str">
        <f t="shared" ref="E14:E19" si="1">IF(D14&gt;=0.7,"Goed",IF(D14&gt;=0.5,"Aandacht","Onvoldoende"))</f>
        <v>Onvoldoende</v>
      </c>
    </row>
    <row r="15" spans="1:7" ht="17" x14ac:dyDescent="0.25">
      <c r="A15" t="s">
        <v>33</v>
      </c>
      <c r="B15" s="26">
        <f>Beoordeling!C32</f>
        <v>0</v>
      </c>
      <c r="C15" s="28">
        <f>Beoordeling!D32</f>
        <v>57</v>
      </c>
      <c r="D15" s="29">
        <f t="shared" si="0"/>
        <v>0</v>
      </c>
      <c r="E15" s="28" t="str">
        <f t="shared" si="1"/>
        <v>Onvoldoende</v>
      </c>
    </row>
    <row r="16" spans="1:7" x14ac:dyDescent="0.2">
      <c r="A16" t="s">
        <v>9</v>
      </c>
      <c r="B16" s="27">
        <f>Beoordeling!C33</f>
        <v>0</v>
      </c>
      <c r="C16" s="28">
        <f>Beoordeling!D33</f>
        <v>27</v>
      </c>
      <c r="D16" s="29">
        <f t="shared" si="0"/>
        <v>0</v>
      </c>
      <c r="E16" s="28" t="str">
        <f t="shared" si="1"/>
        <v>Onvoldoende</v>
      </c>
    </row>
    <row r="17" spans="1:17" x14ac:dyDescent="0.2">
      <c r="A17" t="s">
        <v>10</v>
      </c>
      <c r="B17" s="27">
        <f>Beoordeling!C34</f>
        <v>0</v>
      </c>
      <c r="C17" s="28">
        <f>Beoordeling!D34</f>
        <v>35</v>
      </c>
      <c r="D17" s="29">
        <f t="shared" si="0"/>
        <v>0</v>
      </c>
      <c r="E17" s="28" t="str">
        <f t="shared" si="1"/>
        <v>Onvoldoende</v>
      </c>
    </row>
    <row r="18" spans="1:17" x14ac:dyDescent="0.2">
      <c r="A18" t="s">
        <v>91</v>
      </c>
      <c r="B18" s="27">
        <f>Beoordeling!C35</f>
        <v>0</v>
      </c>
      <c r="C18" s="28">
        <f>Beoordeling!D35</f>
        <v>12</v>
      </c>
      <c r="D18" s="29">
        <f t="shared" si="0"/>
        <v>0</v>
      </c>
      <c r="E18" s="28" t="str">
        <f t="shared" si="1"/>
        <v>Onvoldoende</v>
      </c>
    </row>
    <row r="19" spans="1:17" x14ac:dyDescent="0.2">
      <c r="A19" t="s">
        <v>90</v>
      </c>
      <c r="B19" s="27">
        <f>Beoordeling!C36</f>
        <v>0</v>
      </c>
      <c r="C19" s="28">
        <f>Beoordeling!D36</f>
        <v>10</v>
      </c>
      <c r="D19" s="29">
        <f t="shared" si="0"/>
        <v>0</v>
      </c>
      <c r="E19" s="28" t="str">
        <f t="shared" si="1"/>
        <v>Onvoldoende</v>
      </c>
    </row>
    <row r="20" spans="1:17" x14ac:dyDescent="0.2">
      <c r="A20" s="62" t="s">
        <v>11</v>
      </c>
      <c r="B20" s="62"/>
      <c r="C20" s="62"/>
      <c r="D20" s="62"/>
      <c r="E20" s="62"/>
      <c r="F20" s="2"/>
      <c r="G20" s="2"/>
    </row>
    <row r="21" spans="1:17" x14ac:dyDescent="0.2">
      <c r="A21" s="64" t="s">
        <v>61</v>
      </c>
      <c r="B21" s="64"/>
      <c r="C21" s="64"/>
      <c r="D21" s="64"/>
      <c r="E21" s="64"/>
    </row>
    <row r="22" spans="1:17" x14ac:dyDescent="0.2">
      <c r="A22" s="63" t="s">
        <v>60</v>
      </c>
      <c r="B22" s="63"/>
      <c r="C22" s="63"/>
      <c r="D22" s="63"/>
      <c r="E22" s="63"/>
    </row>
    <row r="23" spans="1:17" x14ac:dyDescent="0.2">
      <c r="A23" s="61" t="s">
        <v>62</v>
      </c>
      <c r="B23" s="61"/>
      <c r="C23" s="61"/>
      <c r="D23" s="61"/>
      <c r="E23" s="61"/>
    </row>
    <row r="25" spans="1:17" x14ac:dyDescent="0.2">
      <c r="A25" s="5" t="s">
        <v>12</v>
      </c>
      <c r="B25" s="5"/>
      <c r="C25" s="5"/>
      <c r="D25" s="5"/>
      <c r="E25" s="5"/>
      <c r="F25" s="5"/>
      <c r="G25" s="5"/>
      <c r="H25" s="5"/>
      <c r="I25" s="5"/>
      <c r="J25" s="5"/>
      <c r="K25" s="5"/>
      <c r="L25" s="5"/>
      <c r="M25" s="5"/>
      <c r="N25" s="5"/>
      <c r="O25" s="5"/>
      <c r="P25" s="5"/>
      <c r="Q25" s="5"/>
    </row>
  </sheetData>
  <mergeCells count="11">
    <mergeCell ref="A1:G1"/>
    <mergeCell ref="A2:G2"/>
    <mergeCell ref="A3:G3"/>
    <mergeCell ref="A4:G4"/>
    <mergeCell ref="A5:E5"/>
    <mergeCell ref="A23:E23"/>
    <mergeCell ref="A9:E9"/>
    <mergeCell ref="A12:E12"/>
    <mergeCell ref="A20:E20"/>
    <mergeCell ref="A22:E22"/>
    <mergeCell ref="A21:E2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6DC24-86BC-AD40-98C9-8F8E0D5924E7}">
  <dimension ref="A1:G39"/>
  <sheetViews>
    <sheetView topLeftCell="A3" zoomScale="75" zoomScaleNormal="84" workbookViewId="0">
      <selection activeCell="D38" sqref="D38"/>
    </sheetView>
  </sheetViews>
  <sheetFormatPr baseColWidth="10" defaultRowHeight="16" x14ac:dyDescent="0.2"/>
  <cols>
    <col min="1" max="1" width="45.83203125" customWidth="1"/>
    <col min="2" max="2" width="4.33203125" customWidth="1"/>
    <col min="3" max="3" width="146.5" customWidth="1"/>
    <col min="4" max="4" width="13" customWidth="1"/>
    <col min="5" max="5" width="15" customWidth="1"/>
    <col min="6" max="6" width="15.33203125" customWidth="1"/>
  </cols>
  <sheetData>
    <row r="1" spans="1:7" x14ac:dyDescent="0.2">
      <c r="A1" s="58"/>
      <c r="B1" s="58"/>
      <c r="C1" s="58"/>
      <c r="D1" s="58"/>
      <c r="E1" s="58"/>
      <c r="F1" s="58"/>
      <c r="G1" s="58"/>
    </row>
    <row r="2" spans="1:7" ht="30" x14ac:dyDescent="0.2">
      <c r="A2" s="59" t="s">
        <v>13</v>
      </c>
      <c r="B2" s="59"/>
      <c r="C2" s="59"/>
      <c r="D2" s="59"/>
      <c r="E2" s="59"/>
      <c r="F2" s="59"/>
      <c r="G2" s="59"/>
    </row>
    <row r="3" spans="1:7" x14ac:dyDescent="0.2">
      <c r="A3" s="60" t="s">
        <v>14</v>
      </c>
      <c r="B3" s="60"/>
      <c r="C3" s="60"/>
      <c r="D3" s="60"/>
      <c r="E3" s="60"/>
      <c r="F3" s="60"/>
      <c r="G3" s="60"/>
    </row>
    <row r="4" spans="1:7" x14ac:dyDescent="0.2">
      <c r="A4" s="4"/>
      <c r="B4" s="6" t="s">
        <v>15</v>
      </c>
      <c r="C4" s="4"/>
      <c r="D4" s="4"/>
      <c r="E4" s="4"/>
      <c r="F4" s="4"/>
      <c r="G4" s="4"/>
    </row>
    <row r="5" spans="1:7" x14ac:dyDescent="0.2">
      <c r="A5" s="15" t="s">
        <v>40</v>
      </c>
      <c r="B5" s="17"/>
      <c r="C5" s="15" t="s">
        <v>74</v>
      </c>
      <c r="D5" s="15" t="s">
        <v>59</v>
      </c>
      <c r="E5" s="15" t="s">
        <v>41</v>
      </c>
      <c r="F5" s="15" t="s">
        <v>34</v>
      </c>
      <c r="G5" s="10"/>
    </row>
    <row r="6" spans="1:7" x14ac:dyDescent="0.2">
      <c r="A6" s="70" t="s">
        <v>16</v>
      </c>
      <c r="B6" s="70"/>
      <c r="C6" s="70"/>
      <c r="D6" s="70"/>
      <c r="E6" s="70"/>
      <c r="F6" s="30"/>
    </row>
    <row r="7" spans="1:7" ht="28" customHeight="1" x14ac:dyDescent="0.2">
      <c r="A7" s="52" t="s">
        <v>17</v>
      </c>
      <c r="B7" s="45"/>
      <c r="C7" s="53" t="s">
        <v>75</v>
      </c>
      <c r="D7" s="19"/>
      <c r="E7" s="20">
        <f>Wegingen!C6</f>
        <v>1.5</v>
      </c>
      <c r="F7" s="23">
        <f>D7*E7</f>
        <v>0</v>
      </c>
    </row>
    <row r="8" spans="1:7" ht="23" customHeight="1" x14ac:dyDescent="0.2">
      <c r="A8" s="51" t="s">
        <v>18</v>
      </c>
      <c r="B8" s="45"/>
      <c r="C8" s="53" t="s">
        <v>76</v>
      </c>
      <c r="D8" s="19"/>
      <c r="E8" s="20">
        <f>Wegingen!C7</f>
        <v>1.2</v>
      </c>
      <c r="F8" s="23">
        <f t="shared" ref="F8:F10" si="0">D8*E8</f>
        <v>0</v>
      </c>
    </row>
    <row r="9" spans="1:7" x14ac:dyDescent="0.2">
      <c r="A9" s="51" t="s">
        <v>19</v>
      </c>
      <c r="C9" s="53" t="s">
        <v>77</v>
      </c>
      <c r="D9" s="19"/>
      <c r="E9" s="20">
        <f>Wegingen!C8</f>
        <v>1</v>
      </c>
      <c r="F9" s="23">
        <f t="shared" si="0"/>
        <v>0</v>
      </c>
    </row>
    <row r="10" spans="1:7" x14ac:dyDescent="0.2">
      <c r="A10" s="51" t="s">
        <v>20</v>
      </c>
      <c r="C10" s="53" t="s">
        <v>78</v>
      </c>
      <c r="D10" s="18"/>
      <c r="E10" s="20">
        <f>Wegingen!C9</f>
        <v>1.3</v>
      </c>
      <c r="F10" s="23">
        <f t="shared" si="0"/>
        <v>0</v>
      </c>
    </row>
    <row r="11" spans="1:7" x14ac:dyDescent="0.2">
      <c r="A11" s="70" t="s">
        <v>21</v>
      </c>
      <c r="B11" s="70"/>
      <c r="C11" s="70"/>
      <c r="D11" s="70"/>
      <c r="E11" s="70"/>
      <c r="F11" s="30"/>
    </row>
    <row r="12" spans="1:7" x14ac:dyDescent="0.2">
      <c r="A12" s="51" t="s">
        <v>22</v>
      </c>
      <c r="C12" s="53" t="s">
        <v>79</v>
      </c>
      <c r="D12" s="19"/>
      <c r="E12" s="20">
        <f>Wegingen!C10</f>
        <v>2</v>
      </c>
      <c r="F12" s="23">
        <f>D12*E12</f>
        <v>0</v>
      </c>
    </row>
    <row r="13" spans="1:7" x14ac:dyDescent="0.2">
      <c r="A13" s="51" t="s">
        <v>23</v>
      </c>
      <c r="C13" s="53" t="s">
        <v>80</v>
      </c>
      <c r="D13" s="19"/>
      <c r="E13" s="20">
        <f>Wegingen!C11</f>
        <v>1.5</v>
      </c>
      <c r="F13" s="23">
        <f t="shared" ref="F13:F15" si="1">D13*E13</f>
        <v>0</v>
      </c>
    </row>
    <row r="14" spans="1:7" x14ac:dyDescent="0.2">
      <c r="A14" s="51" t="s">
        <v>24</v>
      </c>
      <c r="C14" s="53" t="s">
        <v>81</v>
      </c>
      <c r="D14" s="19"/>
      <c r="E14" s="20">
        <f>Wegingen!C12</f>
        <v>1.2</v>
      </c>
      <c r="F14" s="23">
        <f t="shared" si="1"/>
        <v>0</v>
      </c>
    </row>
    <row r="15" spans="1:7" x14ac:dyDescent="0.2">
      <c r="A15" s="51" t="s">
        <v>25</v>
      </c>
      <c r="C15" s="53" t="s">
        <v>82</v>
      </c>
      <c r="D15" s="19"/>
      <c r="E15" s="20">
        <f>Wegingen!C13</f>
        <v>1</v>
      </c>
      <c r="F15" s="23">
        <f t="shared" si="1"/>
        <v>0</v>
      </c>
    </row>
    <row r="16" spans="1:7" x14ac:dyDescent="0.2">
      <c r="A16" s="70" t="s">
        <v>26</v>
      </c>
      <c r="B16" s="70"/>
      <c r="C16" s="70"/>
      <c r="D16" s="70"/>
      <c r="E16" s="70"/>
      <c r="F16" s="30"/>
    </row>
    <row r="17" spans="1:7" x14ac:dyDescent="0.2">
      <c r="A17" s="51" t="s">
        <v>27</v>
      </c>
      <c r="C17" s="53" t="s">
        <v>83</v>
      </c>
      <c r="D17" s="19"/>
      <c r="E17" s="20">
        <f>Wegingen!C14</f>
        <v>1.5</v>
      </c>
      <c r="F17" s="23">
        <f>D17*E17</f>
        <v>0</v>
      </c>
    </row>
    <row r="18" spans="1:7" x14ac:dyDescent="0.2">
      <c r="A18" s="51" t="s">
        <v>28</v>
      </c>
      <c r="C18" s="53" t="s">
        <v>99</v>
      </c>
      <c r="D18" s="19"/>
      <c r="E18" s="20">
        <f>Wegingen!C15</f>
        <v>1.2</v>
      </c>
      <c r="F18" s="23">
        <f>D18*E18</f>
        <v>0</v>
      </c>
    </row>
    <row r="19" spans="1:7" x14ac:dyDescent="0.2">
      <c r="A19" s="70" t="s">
        <v>29</v>
      </c>
      <c r="B19" s="70"/>
      <c r="C19" s="70"/>
      <c r="D19" s="70"/>
      <c r="E19" s="70"/>
      <c r="F19" s="30"/>
    </row>
    <row r="20" spans="1:7" x14ac:dyDescent="0.2">
      <c r="A20" s="51" t="s">
        <v>30</v>
      </c>
      <c r="C20" s="53" t="s">
        <v>84</v>
      </c>
      <c r="D20" s="19"/>
      <c r="E20" s="20">
        <f>Wegingen!C16</f>
        <v>1</v>
      </c>
      <c r="F20" s="23">
        <f>D20*E20</f>
        <v>0</v>
      </c>
    </row>
    <row r="21" spans="1:7" x14ac:dyDescent="0.2">
      <c r="A21" s="51" t="s">
        <v>31</v>
      </c>
      <c r="C21" s="53" t="s">
        <v>85</v>
      </c>
      <c r="D21" s="19"/>
      <c r="E21" s="20">
        <f>Wegingen!C17</f>
        <v>0.8</v>
      </c>
      <c r="F21" s="23">
        <f>D21*E21</f>
        <v>0</v>
      </c>
    </row>
    <row r="22" spans="1:7" x14ac:dyDescent="0.2">
      <c r="A22" s="51" t="s">
        <v>43</v>
      </c>
      <c r="C22" s="53" t="s">
        <v>92</v>
      </c>
      <c r="D22" s="12"/>
      <c r="E22" s="20">
        <f>Wegingen!C19</f>
        <v>0.9</v>
      </c>
      <c r="F22" s="23">
        <f t="shared" ref="F22" si="2">D22*E22</f>
        <v>0</v>
      </c>
    </row>
    <row r="23" spans="1:7" x14ac:dyDescent="0.2">
      <c r="A23" s="51" t="s">
        <v>69</v>
      </c>
      <c r="C23" s="53" t="s">
        <v>87</v>
      </c>
      <c r="D23" s="19"/>
      <c r="E23" s="47">
        <f>Wegingen!C20</f>
        <v>0.8</v>
      </c>
      <c r="F23" s="23">
        <f>D23*E23</f>
        <v>0</v>
      </c>
    </row>
    <row r="24" spans="1:7" x14ac:dyDescent="0.2">
      <c r="A24" s="70" t="s">
        <v>100</v>
      </c>
      <c r="B24" s="71"/>
      <c r="C24" s="71"/>
      <c r="D24" s="71"/>
      <c r="E24" s="71"/>
      <c r="F24" s="30"/>
    </row>
    <row r="25" spans="1:7" ht="21" customHeight="1" x14ac:dyDescent="0.2">
      <c r="A25" s="51" t="s">
        <v>32</v>
      </c>
      <c r="C25" s="53" t="s">
        <v>98</v>
      </c>
      <c r="D25" s="19"/>
      <c r="E25" s="20">
        <f>Wegingen!C18</f>
        <v>1.2</v>
      </c>
      <c r="F25" s="23">
        <f>D25*E25</f>
        <v>0</v>
      </c>
    </row>
    <row r="26" spans="1:7" ht="21" customHeight="1" x14ac:dyDescent="0.2">
      <c r="A26" s="70" t="s">
        <v>88</v>
      </c>
      <c r="B26" s="70"/>
      <c r="C26" s="70"/>
      <c r="D26" s="70"/>
      <c r="E26" s="70"/>
      <c r="F26" s="30"/>
    </row>
    <row r="27" spans="1:7" ht="21" customHeight="1" x14ac:dyDescent="0.2">
      <c r="A27" s="48" t="s">
        <v>89</v>
      </c>
      <c r="B27" s="22"/>
      <c r="C27" s="54" t="s">
        <v>93</v>
      </c>
      <c r="D27" s="19"/>
      <c r="E27" s="57">
        <f>Wegingen!C21</f>
        <v>1</v>
      </c>
      <c r="F27" s="23">
        <f>D27*E27</f>
        <v>0</v>
      </c>
    </row>
    <row r="28" spans="1:7" x14ac:dyDescent="0.2">
      <c r="A28" s="58"/>
      <c r="B28" s="58"/>
      <c r="C28" s="58"/>
      <c r="D28" s="58"/>
      <c r="E28" s="58"/>
      <c r="F28" s="58"/>
      <c r="G28" s="58"/>
    </row>
    <row r="29" spans="1:7" x14ac:dyDescent="0.2">
      <c r="A29" s="72" t="s">
        <v>67</v>
      </c>
      <c r="B29" s="60"/>
      <c r="C29" s="60"/>
      <c r="D29" s="60"/>
      <c r="E29" s="60"/>
      <c r="F29" s="60"/>
      <c r="G29" s="60"/>
    </row>
    <row r="30" spans="1:7" x14ac:dyDescent="0.2">
      <c r="A30" s="7"/>
      <c r="B30" s="1"/>
      <c r="C30" s="8" t="s">
        <v>34</v>
      </c>
      <c r="D30" s="8" t="s">
        <v>35</v>
      </c>
      <c r="E30" s="8" t="s">
        <v>36</v>
      </c>
      <c r="F30" s="9"/>
      <c r="G30" s="9"/>
    </row>
    <row r="31" spans="1:7" x14ac:dyDescent="0.2">
      <c r="A31" s="65" t="s">
        <v>8</v>
      </c>
      <c r="B31" s="69"/>
      <c r="C31" s="31">
        <f>SUM(F7:F10)</f>
        <v>0</v>
      </c>
      <c r="D31" s="32">
        <f>SUM(E7:E10)*10</f>
        <v>50</v>
      </c>
      <c r="E31" s="33">
        <f t="shared" ref="E31:E36" si="3">IF(D31=0,0,C31/D31)</f>
        <v>0</v>
      </c>
    </row>
    <row r="32" spans="1:7" x14ac:dyDescent="0.2">
      <c r="A32" s="65" t="s">
        <v>33</v>
      </c>
      <c r="B32" s="66"/>
      <c r="C32" s="31">
        <f>SUM(F12:F15)</f>
        <v>0</v>
      </c>
      <c r="D32" s="32">
        <f>SUM(E12:E15)*10</f>
        <v>57</v>
      </c>
      <c r="E32" s="33">
        <f t="shared" si="3"/>
        <v>0</v>
      </c>
    </row>
    <row r="33" spans="1:5" x14ac:dyDescent="0.2">
      <c r="A33" s="67" t="s">
        <v>9</v>
      </c>
      <c r="B33" s="68"/>
      <c r="C33" s="31">
        <f>SUM(F17:F18)</f>
        <v>0</v>
      </c>
      <c r="D33" s="32">
        <f>SUM(E17:E18)*10</f>
        <v>27</v>
      </c>
      <c r="E33" s="33">
        <f t="shared" si="3"/>
        <v>0</v>
      </c>
    </row>
    <row r="34" spans="1:5" x14ac:dyDescent="0.2">
      <c r="A34" s="65" t="s">
        <v>37</v>
      </c>
      <c r="B34" s="66"/>
      <c r="C34" s="31">
        <f>SUM(F20:F23)</f>
        <v>0</v>
      </c>
      <c r="D34" s="32">
        <f>SUM(E20:E23)*10</f>
        <v>35</v>
      </c>
      <c r="E34" s="33">
        <f t="shared" si="3"/>
        <v>0</v>
      </c>
    </row>
    <row r="35" spans="1:5" x14ac:dyDescent="0.2">
      <c r="A35" s="65" t="s">
        <v>91</v>
      </c>
      <c r="B35" s="66"/>
      <c r="C35" s="31">
        <f>F25</f>
        <v>0</v>
      </c>
      <c r="D35" s="32">
        <f>SUM(E25:E25)*10</f>
        <v>12</v>
      </c>
      <c r="E35" s="33">
        <f t="shared" si="3"/>
        <v>0</v>
      </c>
    </row>
    <row r="36" spans="1:5" x14ac:dyDescent="0.2">
      <c r="A36" s="24" t="s">
        <v>90</v>
      </c>
      <c r="B36" s="25"/>
      <c r="C36" s="49">
        <f>F27</f>
        <v>0</v>
      </c>
      <c r="D36" s="50">
        <f>SUM(E27:E27)*10</f>
        <v>10</v>
      </c>
      <c r="E36" s="36">
        <f t="shared" si="3"/>
        <v>0</v>
      </c>
    </row>
    <row r="37" spans="1:5" x14ac:dyDescent="0.2">
      <c r="A37" s="65" t="s">
        <v>68</v>
      </c>
      <c r="B37" s="66"/>
      <c r="C37" s="34">
        <f>SUM(C31:C36)</f>
        <v>0</v>
      </c>
      <c r="D37" s="35">
        <f>SUM(D31:D36)</f>
        <v>191</v>
      </c>
      <c r="E37" s="36"/>
    </row>
    <row r="39" spans="1:5" x14ac:dyDescent="0.2">
      <c r="A39" s="56" t="s">
        <v>38</v>
      </c>
      <c r="C39" s="55" t="str">
        <f>IF(C37/D37*100&gt;=70,"GO — Locatie geschikt voor verdere verkenning",IF(C37/D37*100&gt;=50,"AANDACHT — Locatie heeft potentie maar vraagt nader onderzoek","NO-GO — Locatie voldoet niet aan de minimale eisen"))</f>
        <v>NO-GO — Locatie voldoet niet aan de minimale eisen</v>
      </c>
    </row>
  </sheetData>
  <mergeCells count="17">
    <mergeCell ref="A31:B31"/>
    <mergeCell ref="A1:G1"/>
    <mergeCell ref="A2:G2"/>
    <mergeCell ref="A3:G3"/>
    <mergeCell ref="A6:E6"/>
    <mergeCell ref="A11:E11"/>
    <mergeCell ref="A26:E26"/>
    <mergeCell ref="A16:E16"/>
    <mergeCell ref="A19:E19"/>
    <mergeCell ref="A24:E24"/>
    <mergeCell ref="A28:G28"/>
    <mergeCell ref="A29:G29"/>
    <mergeCell ref="A37:B37"/>
    <mergeCell ref="A32:B32"/>
    <mergeCell ref="A34:B34"/>
    <mergeCell ref="A33:B33"/>
    <mergeCell ref="A35:B35"/>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4C634-BCE5-EB48-B99D-8F31DDCA692E}">
  <dimension ref="A1:G23"/>
  <sheetViews>
    <sheetView tabSelected="1" topLeftCell="A3" zoomScale="91" workbookViewId="0">
      <selection activeCell="C23" sqref="C23"/>
    </sheetView>
  </sheetViews>
  <sheetFormatPr baseColWidth="10" defaultRowHeight="16" x14ac:dyDescent="0.2"/>
  <cols>
    <col min="1" max="1" width="44.33203125" customWidth="1"/>
    <col min="3" max="3" width="24.6640625" customWidth="1"/>
    <col min="4" max="4" width="38.33203125" customWidth="1"/>
    <col min="5" max="5" width="27" customWidth="1"/>
  </cols>
  <sheetData>
    <row r="1" spans="1:7" x14ac:dyDescent="0.2">
      <c r="A1" s="58"/>
      <c r="B1" s="58"/>
      <c r="C1" s="58"/>
      <c r="D1" s="58"/>
      <c r="E1" s="58"/>
      <c r="F1" s="58"/>
      <c r="G1" s="58"/>
    </row>
    <row r="2" spans="1:7" ht="30" x14ac:dyDescent="0.2">
      <c r="A2" s="59" t="s">
        <v>39</v>
      </c>
      <c r="B2" s="59"/>
      <c r="C2" s="59"/>
      <c r="D2" s="59"/>
      <c r="E2" s="59"/>
      <c r="F2" s="59"/>
      <c r="G2" s="59"/>
    </row>
    <row r="3" spans="1:7" x14ac:dyDescent="0.2">
      <c r="A3" s="60" t="s">
        <v>71</v>
      </c>
      <c r="B3" s="60"/>
      <c r="C3" s="60"/>
      <c r="D3" s="60"/>
      <c r="E3" s="60"/>
      <c r="F3" s="60"/>
      <c r="G3" s="60"/>
    </row>
    <row r="5" spans="1:7" x14ac:dyDescent="0.2">
      <c r="A5" s="17" t="s">
        <v>40</v>
      </c>
      <c r="B5" s="10"/>
      <c r="C5" s="11" t="s">
        <v>44</v>
      </c>
      <c r="D5" s="17" t="s">
        <v>94</v>
      </c>
      <c r="E5" s="11"/>
      <c r="F5" s="10"/>
      <c r="G5" s="10"/>
    </row>
    <row r="6" spans="1:7" ht="35" customHeight="1" x14ac:dyDescent="0.2">
      <c r="A6" s="5" t="s">
        <v>17</v>
      </c>
      <c r="B6" s="5"/>
      <c r="C6" s="16">
        <v>1.5</v>
      </c>
    </row>
    <row r="7" spans="1:7" ht="32" customHeight="1" x14ac:dyDescent="0.2">
      <c r="A7" t="s">
        <v>18</v>
      </c>
      <c r="C7" s="16">
        <v>1.2</v>
      </c>
    </row>
    <row r="8" spans="1:7" ht="29" customHeight="1" x14ac:dyDescent="0.2">
      <c r="A8" s="5" t="s">
        <v>19</v>
      </c>
      <c r="B8" s="5"/>
      <c r="C8" s="16">
        <v>1</v>
      </c>
    </row>
    <row r="9" spans="1:7" ht="34" customHeight="1" x14ac:dyDescent="0.2">
      <c r="A9" t="s">
        <v>20</v>
      </c>
      <c r="C9" s="16">
        <v>1.3</v>
      </c>
    </row>
    <row r="10" spans="1:7" ht="40" customHeight="1" x14ac:dyDescent="0.2">
      <c r="A10" s="5" t="s">
        <v>22</v>
      </c>
      <c r="B10" s="5"/>
      <c r="C10" s="16">
        <v>2</v>
      </c>
    </row>
    <row r="11" spans="1:7" ht="25" customHeight="1" x14ac:dyDescent="0.2">
      <c r="A11" t="s">
        <v>23</v>
      </c>
      <c r="C11" s="16">
        <v>1.5</v>
      </c>
    </row>
    <row r="12" spans="1:7" ht="31" customHeight="1" x14ac:dyDescent="0.2">
      <c r="A12" s="5" t="s">
        <v>24</v>
      </c>
      <c r="B12" s="5"/>
      <c r="C12" s="16">
        <v>1.2</v>
      </c>
    </row>
    <row r="13" spans="1:7" ht="22" customHeight="1" x14ac:dyDescent="0.2">
      <c r="A13" t="s">
        <v>25</v>
      </c>
      <c r="C13" s="16">
        <v>1</v>
      </c>
    </row>
    <row r="14" spans="1:7" ht="26" customHeight="1" x14ac:dyDescent="0.2">
      <c r="A14" s="5" t="s">
        <v>27</v>
      </c>
      <c r="B14" s="5"/>
      <c r="C14" s="16">
        <v>1.5</v>
      </c>
    </row>
    <row r="15" spans="1:7" ht="31" customHeight="1" x14ac:dyDescent="0.2">
      <c r="A15" t="s">
        <v>28</v>
      </c>
      <c r="C15" s="16">
        <v>1.2</v>
      </c>
    </row>
    <row r="16" spans="1:7" ht="30" customHeight="1" x14ac:dyDescent="0.2">
      <c r="A16" s="5" t="s">
        <v>30</v>
      </c>
      <c r="B16" s="5"/>
      <c r="C16" s="16">
        <v>1</v>
      </c>
    </row>
    <row r="17" spans="1:3" ht="27" customHeight="1" x14ac:dyDescent="0.2">
      <c r="A17" t="s">
        <v>42</v>
      </c>
      <c r="C17" s="16">
        <v>0.8</v>
      </c>
    </row>
    <row r="18" spans="1:3" ht="27" customHeight="1" x14ac:dyDescent="0.2">
      <c r="A18" s="46" t="s">
        <v>32</v>
      </c>
      <c r="B18" s="5"/>
      <c r="C18" s="16">
        <v>1.2</v>
      </c>
    </row>
    <row r="19" spans="1:3" ht="28" customHeight="1" x14ac:dyDescent="0.2">
      <c r="A19" t="s">
        <v>43</v>
      </c>
      <c r="C19" s="16">
        <v>0.9</v>
      </c>
    </row>
    <row r="20" spans="1:3" ht="28" customHeight="1" x14ac:dyDescent="0.2">
      <c r="A20" s="46" t="s">
        <v>69</v>
      </c>
      <c r="B20" s="5"/>
      <c r="C20" s="16">
        <v>0.8</v>
      </c>
    </row>
    <row r="21" spans="1:3" ht="28" customHeight="1" x14ac:dyDescent="0.2">
      <c r="A21" t="s">
        <v>86</v>
      </c>
      <c r="C21" s="16">
        <v>1</v>
      </c>
    </row>
    <row r="23" spans="1:3" x14ac:dyDescent="0.2">
      <c r="A23" s="37" t="s">
        <v>70</v>
      </c>
      <c r="C23" s="38">
        <f>SUM(C6:C21)</f>
        <v>19.099999999999998</v>
      </c>
    </row>
  </sheetData>
  <mergeCells count="3">
    <mergeCell ref="A1:G1"/>
    <mergeCell ref="A2:G2"/>
    <mergeCell ref="A3:G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D35A6-0DDD-264F-B902-B6BC544DF48F}">
  <dimension ref="A1:G14"/>
  <sheetViews>
    <sheetView topLeftCell="A2" zoomScale="86" workbookViewId="0">
      <selection activeCell="B14" sqref="B14"/>
    </sheetView>
  </sheetViews>
  <sheetFormatPr baseColWidth="10" defaultRowHeight="16" x14ac:dyDescent="0.2"/>
  <cols>
    <col min="1" max="1" width="31" customWidth="1"/>
    <col min="2" max="2" width="33.6640625" customWidth="1"/>
    <col min="3" max="3" width="31" customWidth="1"/>
    <col min="4" max="4" width="27.33203125" customWidth="1"/>
    <col min="5" max="5" width="28.83203125" customWidth="1"/>
    <col min="6" max="6" width="23.6640625" customWidth="1"/>
    <col min="7" max="7" width="45.83203125" customWidth="1"/>
  </cols>
  <sheetData>
    <row r="1" spans="1:7" x14ac:dyDescent="0.2">
      <c r="A1" s="58"/>
      <c r="B1" s="58"/>
      <c r="C1" s="58"/>
      <c r="D1" s="58"/>
      <c r="E1" s="58"/>
      <c r="F1" s="58"/>
      <c r="G1" s="58"/>
    </row>
    <row r="2" spans="1:7" ht="30" x14ac:dyDescent="0.2">
      <c r="A2" s="59" t="s">
        <v>45</v>
      </c>
      <c r="B2" s="59"/>
      <c r="C2" s="59"/>
      <c r="D2" s="59"/>
      <c r="E2" s="59"/>
      <c r="F2" s="59"/>
      <c r="G2" s="59"/>
    </row>
    <row r="3" spans="1:7" ht="27" customHeight="1" x14ac:dyDescent="0.2">
      <c r="A3" s="73" t="s">
        <v>58</v>
      </c>
      <c r="B3" s="73"/>
      <c r="C3" s="73"/>
      <c r="D3" s="73"/>
      <c r="E3" s="73"/>
      <c r="F3" s="73"/>
      <c r="G3" s="73"/>
    </row>
    <row r="4" spans="1:7" ht="8" customHeight="1" x14ac:dyDescent="0.2">
      <c r="A4" s="58"/>
      <c r="B4" s="58"/>
      <c r="C4" s="58"/>
      <c r="D4" s="58"/>
      <c r="E4" s="58"/>
      <c r="F4" s="58"/>
      <c r="G4" s="58"/>
    </row>
    <row r="5" spans="1:7" x14ac:dyDescent="0.2">
      <c r="A5" s="11" t="s">
        <v>48</v>
      </c>
      <c r="B5" s="11" t="s">
        <v>49</v>
      </c>
      <c r="C5" s="11" t="s">
        <v>51</v>
      </c>
      <c r="D5" s="11" t="s">
        <v>52</v>
      </c>
      <c r="E5" s="11" t="s">
        <v>53</v>
      </c>
      <c r="F5" s="11" t="s">
        <v>50</v>
      </c>
    </row>
    <row r="6" spans="1:7" ht="25" customHeight="1" x14ac:dyDescent="0.2">
      <c r="A6" s="39" t="s">
        <v>54</v>
      </c>
      <c r="B6" s="40" t="s">
        <v>57</v>
      </c>
      <c r="C6" s="40" t="s">
        <v>57</v>
      </c>
      <c r="D6" s="40" t="s">
        <v>57</v>
      </c>
      <c r="E6" s="40" t="s">
        <v>57</v>
      </c>
      <c r="F6" s="39"/>
    </row>
    <row r="7" spans="1:7" ht="26" customHeight="1" x14ac:dyDescent="0.2">
      <c r="A7" s="39" t="s">
        <v>55</v>
      </c>
      <c r="B7" s="41"/>
      <c r="C7" s="41"/>
      <c r="D7" s="41"/>
      <c r="E7" s="41"/>
      <c r="F7" s="42" t="str">
        <f>IF(MAX(B7:E7)=0,"—",INDEX(B6:E6,MATCH(MAX(B7:E7),B7:E7,0)))</f>
        <v>—</v>
      </c>
    </row>
    <row r="8" spans="1:7" ht="26" customHeight="1" x14ac:dyDescent="0.2">
      <c r="A8" s="39" t="s">
        <v>8</v>
      </c>
      <c r="B8" s="39"/>
      <c r="C8" s="39"/>
      <c r="D8" s="39"/>
      <c r="E8" s="39"/>
      <c r="F8" s="42" t="str">
        <f t="shared" ref="F8:F12" si="0">IF(MAX(B8:E8)=0,"—",INDEX(B7:E7,MATCH(MAX(B8:E8),B8:E8,0)))</f>
        <v>—</v>
      </c>
    </row>
    <row r="9" spans="1:7" ht="25" customHeight="1" x14ac:dyDescent="0.2">
      <c r="A9" s="39" t="s">
        <v>33</v>
      </c>
      <c r="B9" s="39"/>
      <c r="C9" s="39"/>
      <c r="D9" s="39"/>
      <c r="E9" s="39"/>
      <c r="F9" s="42" t="str">
        <f t="shared" si="0"/>
        <v>—</v>
      </c>
    </row>
    <row r="10" spans="1:7" ht="28" customHeight="1" x14ac:dyDescent="0.2">
      <c r="A10" s="39" t="s">
        <v>9</v>
      </c>
      <c r="B10" s="39"/>
      <c r="C10" s="39"/>
      <c r="D10" s="39"/>
      <c r="E10" s="39"/>
      <c r="F10" s="42" t="str">
        <f t="shared" si="0"/>
        <v>—</v>
      </c>
    </row>
    <row r="11" spans="1:7" ht="22" customHeight="1" x14ac:dyDescent="0.2">
      <c r="A11" s="39" t="s">
        <v>37</v>
      </c>
      <c r="B11" s="39"/>
      <c r="C11" s="39"/>
      <c r="D11" s="39"/>
      <c r="E11" s="39"/>
      <c r="F11" s="42" t="str">
        <f t="shared" si="0"/>
        <v>—</v>
      </c>
    </row>
    <row r="12" spans="1:7" ht="29" customHeight="1" x14ac:dyDescent="0.2">
      <c r="A12" s="39" t="s">
        <v>91</v>
      </c>
      <c r="B12" s="39"/>
      <c r="C12" s="39"/>
      <c r="D12" s="39"/>
      <c r="E12" s="39"/>
      <c r="F12" s="42" t="str">
        <f t="shared" si="0"/>
        <v>—</v>
      </c>
    </row>
    <row r="13" spans="1:7" ht="29" customHeight="1" x14ac:dyDescent="0.2">
      <c r="A13" s="39" t="s">
        <v>90</v>
      </c>
      <c r="B13" s="39"/>
      <c r="C13" s="39"/>
      <c r="D13" s="39"/>
      <c r="E13" s="39"/>
      <c r="F13" s="42" t="str">
        <f>IF(MAX(B13:E13)=0,"—",INDEX(B12:E12,MATCH(MAX(B13:E13),B13:E13,0)))</f>
        <v>—</v>
      </c>
    </row>
    <row r="14" spans="1:7" ht="19" customHeight="1" x14ac:dyDescent="0.2">
      <c r="A14" s="39" t="s">
        <v>56</v>
      </c>
      <c r="B14" s="39"/>
      <c r="C14" s="39"/>
      <c r="D14" s="39"/>
      <c r="E14" s="39"/>
      <c r="F14" s="43"/>
    </row>
  </sheetData>
  <mergeCells count="4">
    <mergeCell ref="A1:G1"/>
    <mergeCell ref="A2:G2"/>
    <mergeCell ref="A3:G3"/>
    <mergeCell ref="A4:G4"/>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5</vt:i4>
      </vt:variant>
    </vt:vector>
  </HeadingPairs>
  <TitlesOfParts>
    <vt:vector size="5" baseType="lpstr">
      <vt:lpstr>Toelichting</vt:lpstr>
      <vt:lpstr>Dashboard</vt:lpstr>
      <vt:lpstr>Beoordeling</vt:lpstr>
      <vt:lpstr>Wegingen</vt:lpstr>
      <vt:lpstr>Vergelijking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Beau van Dalfzen</dc:creator>
  <cp:lastModifiedBy>Beau van Dalfzen</cp:lastModifiedBy>
  <dcterms:created xsi:type="dcterms:W3CDTF">2026-06-06T11:12:55Z</dcterms:created>
  <dcterms:modified xsi:type="dcterms:W3CDTF">2026-06-10T14:24:36Z</dcterms:modified>
</cp:coreProperties>
</file>